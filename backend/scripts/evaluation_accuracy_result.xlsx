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SCI599_ARABCAL_chatbot\599_chatbot_calories_estimation\backend\scripts\"/>
    </mc:Choice>
  </mc:AlternateContent>
  <xr:revisionPtr revIDLastSave="0" documentId="13_ncr:1_{9D0126C9-0E63-475B-BFC4-66C55D4DAA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L4" i="1" l="1"/>
  <c r="L2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</calcChain>
</file>

<file path=xl/sharedStrings.xml><?xml version="1.0" encoding="utf-8"?>
<sst xmlns="http://schemas.openxmlformats.org/spreadsheetml/2006/main" count="1260" uniqueCount="875">
  <si>
    <t>#</t>
  </si>
  <si>
    <t>Meal_English</t>
  </si>
  <si>
    <t>Description_English</t>
  </si>
  <si>
    <t>ChatGPT_Calories</t>
  </si>
  <si>
    <t>DeepSeek_Calories</t>
  </si>
  <si>
    <t>USDA_Calories</t>
  </si>
  <si>
    <t>Category</t>
  </si>
  <si>
    <t>USDA_Data_Type</t>
  </si>
  <si>
    <t xml:space="preserve">USDA_Reference_Link	</t>
  </si>
  <si>
    <t>Date_Accessed</t>
  </si>
  <si>
    <t>chatbot_dish_name</t>
  </si>
  <si>
    <t>chatbot_calories</t>
  </si>
  <si>
    <t>chatbot_date</t>
  </si>
  <si>
    <t>Olive Oil</t>
  </si>
  <si>
    <t>1 teaspoon of olive oil (4.5 g)</t>
  </si>
  <si>
    <t>single ingredient</t>
  </si>
  <si>
    <t>SR Legacy</t>
  </si>
  <si>
    <t>https://fdc.nal.usda.gov/food-details/167737/nutrients</t>
  </si>
  <si>
    <t>Oil, olive, salad or cooking</t>
  </si>
  <si>
    <t>1 tablespoon of olive oil (14 g)</t>
  </si>
  <si>
    <t>Corn Oil</t>
  </si>
  <si>
    <t>1 tablespoon of corn oil (14 g)</t>
  </si>
  <si>
    <t>https://fdc.nal.usda.gov/food-details/169867/nutrients</t>
  </si>
  <si>
    <t>Oil, corn, industrial and retail, all purpose salad or cooking</t>
  </si>
  <si>
    <t>Honey</t>
  </si>
  <si>
    <t>1 tablespoon of honey (21 g)</t>
  </si>
  <si>
    <t>https://fdc.nal.usda.gov/food-details/169640/nutrients</t>
  </si>
  <si>
    <t>Green Apple</t>
  </si>
  <si>
    <t>1 medium green apple (160 g)</t>
  </si>
  <si>
    <t>Foundation</t>
  </si>
  <si>
    <t>https://fdc.nal.usda.gov/food-details/1750342/nutrients</t>
  </si>
  <si>
    <t>Apples, raw, with skin (Includes foods for USDA's Food Distribution Program)</t>
  </si>
  <si>
    <t>Red Apple</t>
  </si>
  <si>
    <t>1 medium red apple (160 g)</t>
  </si>
  <si>
    <t>https://fdc.nal.usda.gov/food-details/1750339/nutrients</t>
  </si>
  <si>
    <t>Kiwi</t>
  </si>
  <si>
    <t>1 medium kiwi (75 g)</t>
  </si>
  <si>
    <t>https://fdc.nal.usda.gov/food-details/2710831/nutrients</t>
  </si>
  <si>
    <t>Kiwifruit, green, raw</t>
  </si>
  <si>
    <t>Banana</t>
  </si>
  <si>
    <t>1 medium banana (100 g)</t>
  </si>
  <si>
    <t>https://fdc.nal.usda.gov/food-details/173944/nutrients</t>
  </si>
  <si>
    <t>Bananas, raw</t>
  </si>
  <si>
    <t>Grapes</t>
  </si>
  <si>
    <t>1 cup of grapes (150 g)</t>
  </si>
  <si>
    <t>https://fdc.nal.usda.gov/food-details/2346413/nutrients</t>
  </si>
  <si>
    <t>Grapes, muscadine, raw</t>
  </si>
  <si>
    <t>Red Grapes</t>
  </si>
  <si>
    <t>1 cup of red grapes (150 g)</t>
  </si>
  <si>
    <t>https://fdc.nal.usda.gov/food-details/2346412/nutrients</t>
  </si>
  <si>
    <t>Grapes, red or green (European type, such as Thompson seedless), raw</t>
  </si>
  <si>
    <t>Melon</t>
  </si>
  <si>
    <t>1 slice of melon (150 g)</t>
  </si>
  <si>
    <t>https://fdc.nal.usda.gov/food-details/746770/nutrients</t>
  </si>
  <si>
    <t>Melons, casaba, raw</t>
  </si>
  <si>
    <t>Watermelon</t>
  </si>
  <si>
    <t>1 cup of watermelon (150 g)</t>
  </si>
  <si>
    <t>https://fdc.nal.usda.gov/food-details/167765/nutrients</t>
  </si>
  <si>
    <t>Watermelon, raw</t>
  </si>
  <si>
    <t>Mango</t>
  </si>
  <si>
    <t>Half a mango (100 g)</t>
  </si>
  <si>
    <t>https://fdc.nal.usda.gov/food-details/2710833/nutrients</t>
  </si>
  <si>
    <t>Mangos, raw</t>
  </si>
  <si>
    <t>Peach</t>
  </si>
  <si>
    <t>1 medium peach (150 g)</t>
  </si>
  <si>
    <t>https://fdc.nal.usda.gov/food-details/325430/nutrients</t>
  </si>
  <si>
    <t>Peaches, yellow, raw</t>
  </si>
  <si>
    <t>Apricot</t>
  </si>
  <si>
    <t>1 medium apricot (35 g)</t>
  </si>
  <si>
    <t>https://fdc.nal.usda.gov/food-details/2710815/nutrients</t>
  </si>
  <si>
    <t>Apricots, raw</t>
  </si>
  <si>
    <t>Pear</t>
  </si>
  <si>
    <t>1 medium pear (180 g)</t>
  </si>
  <si>
    <t>https://fdc.nal.usda.gov/food-details/2710836/nutrients</t>
  </si>
  <si>
    <t>Pears, raw</t>
  </si>
  <si>
    <t>Pineapple</t>
  </si>
  <si>
    <t>Half a cup of fresh pineapple (80 g)</t>
  </si>
  <si>
    <t>https://fdc.nal.usda.gov/food-details/2346398/nutrients</t>
  </si>
  <si>
    <t>Pineapple, raw</t>
  </si>
  <si>
    <t>Guava</t>
  </si>
  <si>
    <t>1 medium guava (165 g)</t>
  </si>
  <si>
    <t>https://fdc.nal.usda.gov/food-details/173044/nutrients</t>
  </si>
  <si>
    <t>Guavas, common, raw</t>
  </si>
  <si>
    <t>Plum</t>
  </si>
  <si>
    <t>1 medium plum (65 g)</t>
  </si>
  <si>
    <t>https://fdc.nal.usda.gov/food-details/2710837/nutrients</t>
  </si>
  <si>
    <t>Plums, raw</t>
  </si>
  <si>
    <t>Blueberries</t>
  </si>
  <si>
    <t>Half a cup of blueberries (75 g)</t>
  </si>
  <si>
    <t>https://fdc.nal.usda.gov/food-details/2346411/nutrients</t>
  </si>
  <si>
    <t>Blueberries, raw</t>
  </si>
  <si>
    <t>Raspberries</t>
  </si>
  <si>
    <t>Half a cup of raspberries (75 g)</t>
  </si>
  <si>
    <t>http://fdc.nal.usda.gov/food-details/2346410/nutrients</t>
  </si>
  <si>
    <t>Raspberries, raw</t>
  </si>
  <si>
    <t>Cherries</t>
  </si>
  <si>
    <t>Half a cup of cherries (75 g)</t>
  </si>
  <si>
    <t>https://fdc.nal.usda.gov/food-details/2346399/nutrients</t>
  </si>
  <si>
    <t>Cherries, sweet, raw</t>
  </si>
  <si>
    <t>Strawberry</t>
  </si>
  <si>
    <t>1 cup of fresh strawberry slices (150 g)</t>
  </si>
  <si>
    <t>https://fdc.nal.usda.gov/food-details/2346409/nutrients</t>
  </si>
  <si>
    <t>Strawberries, raw</t>
  </si>
  <si>
    <t>Orange</t>
  </si>
  <si>
    <t>1 large orange (180 g)</t>
  </si>
  <si>
    <t>https://fdc.nal.usda.gov/food-details/169097/nutrients</t>
  </si>
  <si>
    <t>Oranges, raw, all commercial varieties</t>
  </si>
  <si>
    <t>Fresh Orange Juice</t>
  </si>
  <si>
    <t>1 cup of fresh orange juice (240 ml)</t>
  </si>
  <si>
    <t>https://fdc.nal.usda.gov/food-details/2003597/nutrients</t>
  </si>
  <si>
    <t>Orange juice, raw (Includes foods for USDA's Food Distribution Program)</t>
  </si>
  <si>
    <t>Apple Juice</t>
  </si>
  <si>
    <t>1 cup of fresh apple juice (240 ml)</t>
  </si>
  <si>
    <t>https://fdc.nal.usda.gov/food-details/173935/nutrients</t>
  </si>
  <si>
    <t>Apple juice, with added vitamin C, from concentrate, shelf stable</t>
  </si>
  <si>
    <t>Fresh Pineapple Juice</t>
  </si>
  <si>
    <t>1 cup of fresh pineapple juice (240 ml)</t>
  </si>
  <si>
    <t>https://fdc.nal.usda.gov/food-details/169947/nutrients</t>
  </si>
  <si>
    <t>Pineapple juice, canned or bottled, unsweetened, without added ascorbic acid</t>
  </si>
  <si>
    <t>Dates</t>
  </si>
  <si>
    <t>2 Dates (60 g)</t>
  </si>
  <si>
    <t>https://fdc.nal.usda.gov/food-details/168191/nutrients</t>
  </si>
  <si>
    <t>Dates, medjool</t>
  </si>
  <si>
    <t>Raisins</t>
  </si>
  <si>
    <t>raisins (14 g)</t>
  </si>
  <si>
    <t>https://fdc.nal.usda.gov/food-details/168164/nutrients</t>
  </si>
  <si>
    <t>Raisins, seeded</t>
  </si>
  <si>
    <t>Black Raisins</t>
  </si>
  <si>
    <t>black raisins (14 g)</t>
  </si>
  <si>
    <t>https://fdc.nal.usda.gov/food-details/168165/nutrients</t>
  </si>
  <si>
    <t>Dried Apricots</t>
  </si>
  <si>
    <t>Half a cup of dried apricots (65 g)</t>
  </si>
  <si>
    <t>https://fdc.nal.usda.gov/food-details/173941/nutrients</t>
  </si>
  <si>
    <t>Apricots, dried, sulfured, uncooked</t>
  </si>
  <si>
    <t>Dried Figs</t>
  </si>
  <si>
    <t>Half a cup of dried figs (70 g)</t>
  </si>
  <si>
    <t>https://fdc.nal.usda.gov/food-details/746768/nutrients</t>
  </si>
  <si>
    <t>Figs, dried, uncooked</t>
  </si>
  <si>
    <t>Dried Sweetned Cherries</t>
  </si>
  <si>
    <t>Quarter cup of dried sweetned cherries (40 g)</t>
  </si>
  <si>
    <t>https://fdc.nal.usda.gov/food-details/171708/nutrients</t>
  </si>
  <si>
    <t>Walnuts</t>
  </si>
  <si>
    <t>7 halves of walnuts (14 g)</t>
  </si>
  <si>
    <t>https://fdc.nal.usda.gov/food-details/2346394/nutrients</t>
  </si>
  <si>
    <t>Nuts, walnuts, english</t>
  </si>
  <si>
    <t>Pistachios</t>
  </si>
  <si>
    <t>30 pistachios (28 g)</t>
  </si>
  <si>
    <t>https://fdc.nal.usda.gov/food-details/2515379/nutrients</t>
  </si>
  <si>
    <t>Nuts, pistachio nuts, raw</t>
  </si>
  <si>
    <t>Almonds</t>
  </si>
  <si>
    <t>15 almonds (21 g)</t>
  </si>
  <si>
    <t>https://fdc.nal.usda.gov/food-details/2346393/nutrients</t>
  </si>
  <si>
    <t>Nuts, almonds</t>
  </si>
  <si>
    <t>Peanuts</t>
  </si>
  <si>
    <t>peanuts (28 g)</t>
  </si>
  <si>
    <t>https://fdc.nal.usda.gov/food-details/2515376/nutrients</t>
  </si>
  <si>
    <t>Peanuts, all types, raw</t>
  </si>
  <si>
    <t>Peanut Butter</t>
  </si>
  <si>
    <t>2 tablespoons of peanut butter (32 g)</t>
  </si>
  <si>
    <t>https://fdc.nal.usda.gov/food-details/2262072/nutrients</t>
  </si>
  <si>
    <t>Peanut butter, smooth style, without salt</t>
  </si>
  <si>
    <t>Date with Almonds</t>
  </si>
  <si>
    <t>3 small dates (40 g) + 3 almonds (4 g)</t>
  </si>
  <si>
    <t>multiple ingredients</t>
  </si>
  <si>
    <t>Calculated from USDA components</t>
  </si>
  <si>
    <t>Dates: https://fdc.nal.usda.gov/food-details/168191/nutrients
Almonds: https://fdc.nal.usda.gov/food-details/2346393/nutrients</t>
  </si>
  <si>
    <t>Dates with Almonds</t>
  </si>
  <si>
    <t>Of Popcorn</t>
  </si>
  <si>
    <t>1 cup of popcorn (8 g) without oil</t>
  </si>
  <si>
    <t>https://fdc.nal.usda.gov/food-details/167959/nutrients</t>
  </si>
  <si>
    <t>Snacks, popcorn, air-popped</t>
  </si>
  <si>
    <t>Avocado</t>
  </si>
  <si>
    <t>1 medium avocado (136 g)</t>
  </si>
  <si>
    <t>https://fdc.nal.usda.gov/food-details/2710824/nutrients</t>
  </si>
  <si>
    <t>Avocados, raw, all commercial varieties</t>
  </si>
  <si>
    <t>Tomato</t>
  </si>
  <si>
    <t>1 medium tomato (123 g)</t>
  </si>
  <si>
    <t>https://fdc.nal.usda.gov/food-details/170457/nutrients</t>
  </si>
  <si>
    <t>Tomatoes, grape, raw</t>
  </si>
  <si>
    <t>Cucumber</t>
  </si>
  <si>
    <t>1 medium cucumber (100 g)</t>
  </si>
  <si>
    <t>https://fdc.nal.usda.gov/food-details/2346406/nutrients</t>
  </si>
  <si>
    <t>Cucumber, with peel, raw</t>
  </si>
  <si>
    <t>Cucumber Pickles</t>
  </si>
  <si>
    <t>1 spear cucumber pickles (40 g)</t>
  </si>
  <si>
    <t>https://fdc.nal.usda.gov/food-details/324653/nutrients</t>
  </si>
  <si>
    <t>Pickles, cucumber, dill or kosher dill</t>
  </si>
  <si>
    <t>Carrots</t>
  </si>
  <si>
    <t>1 medium carrots (61 g)</t>
  </si>
  <si>
    <t>https://fdc.nal.usda.gov/food-details/170393/nutrients</t>
  </si>
  <si>
    <t>Carrots, raw</t>
  </si>
  <si>
    <t>Boiled Carrots</t>
  </si>
  <si>
    <t>1 cup of boiled carrots (150 g)</t>
  </si>
  <si>
    <t>https://fdc.nal.usda.gov/food-details/170394/nutrients</t>
  </si>
  <si>
    <t>Carrots, cooked, boiled, drained, without salt</t>
  </si>
  <si>
    <t>Eggplant</t>
  </si>
  <si>
    <t>1 cup of eggplant (100 g)</t>
  </si>
  <si>
    <t>https://fdc.nal.usda.gov/food-details/2685577/nutrients</t>
  </si>
  <si>
    <t>Eggplant, raw</t>
  </si>
  <si>
    <t>Grilled Eggplant</t>
  </si>
  <si>
    <t>1 cup of grilled eggplant (100 g)</t>
  </si>
  <si>
    <t>https://fdc.nal.usda.gov/food-details/169229/nutrients</t>
  </si>
  <si>
    <t>Eggplant, cooked, boiled, drained, without salt</t>
  </si>
  <si>
    <t>Green Bell Pepper</t>
  </si>
  <si>
    <t>Half a cup of green bell pepper (100 g)</t>
  </si>
  <si>
    <t>https://fdc.nal.usda.gov/food-details/2258588/nutrients</t>
  </si>
  <si>
    <t>Peppers, sweet, green, raw</t>
  </si>
  <si>
    <t>Red Bell Pepper</t>
  </si>
  <si>
    <t>Half a cup of red bell pepper (100 g)</t>
  </si>
  <si>
    <t>https://fdc.nal.usda.gov/food-details/2258590/nutrients</t>
  </si>
  <si>
    <t>Peppers, sweet, red, raw</t>
  </si>
  <si>
    <t>Orange Bell Pepper</t>
  </si>
  <si>
    <t>Half a cup of orange bell pepper (100 g)</t>
  </si>
  <si>
    <t>https://fdc.nal.usda.gov/food-details/2258591/nutrients</t>
  </si>
  <si>
    <t>Peppers, serrano, raw</t>
  </si>
  <si>
    <t>Yellow Bell Pepper</t>
  </si>
  <si>
    <t>Half a cup of yellow bell pepper (100 g)</t>
  </si>
  <si>
    <t>https://fdc.nal.usda.gov/food-details/2258589/nutrients</t>
  </si>
  <si>
    <t>Peppers, sweet, yellow, raw</t>
  </si>
  <si>
    <t>lettuce</t>
  </si>
  <si>
    <t>half a cup lettuce, icebarge (50 g)</t>
  </si>
  <si>
    <t>https://fdc.nal.usda.gov/food-details/2346388/nutrients</t>
  </si>
  <si>
    <t>Lettuce, iceberg (includes crisphead types), raw</t>
  </si>
  <si>
    <t>Cabbage</t>
  </si>
  <si>
    <t>1 cup cabbage (100 g)</t>
  </si>
  <si>
    <t>https://fdc.nal.usda.gov/food-details/2346407/nutrients</t>
  </si>
  <si>
    <t>Cabbage, raw</t>
  </si>
  <si>
    <t>Zucchini</t>
  </si>
  <si>
    <t>1 cup of zucchini slices (100 g)</t>
  </si>
  <si>
    <t>http://fdc.nal.usda.gov/food-details/2685568/nutrients</t>
  </si>
  <si>
    <t>Error</t>
  </si>
  <si>
    <t>Boiled Zucchini</t>
  </si>
  <si>
    <t>1 cup of boiled zucchini slices (180 g)</t>
  </si>
  <si>
    <t>https://fdc.nal.usda.gov/food-details/169292/nutrients</t>
  </si>
  <si>
    <t>Squash, winter, acorn, raw</t>
  </si>
  <si>
    <t>Cooked Broccoli</t>
  </si>
  <si>
    <t>Half a cup of cooked broccoli (75 g)</t>
  </si>
  <si>
    <t>https://fdc.nal.usda.gov/food-details/169967/nutrients</t>
  </si>
  <si>
    <t>Broccoli, cooked, boiled, drained, without salt</t>
  </si>
  <si>
    <t>Cooked Cauliflower</t>
  </si>
  <si>
    <t>Half a cup of cooked cauliflower (62 g)</t>
  </si>
  <si>
    <t>https://fdc.nal.usda.gov/food-details/170397/nutrients</t>
  </si>
  <si>
    <t>Cauliflower, cooked, boiled, drained, with salt</t>
  </si>
  <si>
    <t>Onion</t>
  </si>
  <si>
    <t>1 medium onion (100 g)</t>
  </si>
  <si>
    <t>https://fdc.nal.usda.gov/food-details/1104962/nutrients</t>
  </si>
  <si>
    <t>Onions, raw</t>
  </si>
  <si>
    <t>Boiled Chickpeas</t>
  </si>
  <si>
    <t>Half a cup of boiled chickpeas (100 g)</t>
  </si>
  <si>
    <t>https://fdc.nal.usda.gov/food-details/173757/nutrients</t>
  </si>
  <si>
    <t>Chickpeas (garbanzo beans, bengal gram), mature seeds, cooked, boiled, without salt</t>
  </si>
  <si>
    <t>Boiled Fava Beans</t>
  </si>
  <si>
    <t>1  cup of boiled fava beans (170 g)</t>
  </si>
  <si>
    <t>https://fdc.nal.usda.gov/food-details/173753/nutrients</t>
  </si>
  <si>
    <t>Beans, snap, green, raw</t>
  </si>
  <si>
    <t>Red Lentils</t>
  </si>
  <si>
    <t>1 cup of boiled lentils (198 g)</t>
  </si>
  <si>
    <t>https://fdc.nal.usda.gov/food-details/172421/nutrients</t>
  </si>
  <si>
    <t>Lentils, mature seeds, cooked, boiled, without salt</t>
  </si>
  <si>
    <t>Cooked White Beans</t>
  </si>
  <si>
    <t>1 cup of cooked white beans (179 g)</t>
  </si>
  <si>
    <t>https://fdc.nal.usda.gov/food-details/175203/nutrients</t>
  </si>
  <si>
    <t>Beans, white, mature seeds, cooked, boiled, without salt</t>
  </si>
  <si>
    <t>Quinoa</t>
  </si>
  <si>
    <t>1 cup of cooked Quinoa (185 g)</t>
  </si>
  <si>
    <t>https://fdc.nal.usda.gov/food-details/168917/nutrients</t>
  </si>
  <si>
    <t>Quinoa, cooked</t>
  </si>
  <si>
    <t>White Toast</t>
  </si>
  <si>
    <t>1 slice of white toast (30 g)</t>
  </si>
  <si>
    <t>https://fdc.nal.usda.gov/food-details/325871/nutrients</t>
  </si>
  <si>
    <t>Bread, white, commercially prepared, toasted</t>
  </si>
  <si>
    <t>White Bread Toast, Toasted</t>
  </si>
  <si>
    <t>1 slice of White bread toast, toasted (17 g)</t>
  </si>
  <si>
    <t>https://fdc.nal.usda.gov/food-details/174925/nutrients</t>
  </si>
  <si>
    <t>Breadfruit, raw</t>
  </si>
  <si>
    <t>Wheat Bread Toast</t>
  </si>
  <si>
    <t>whole-wheat bread toast (30 g)</t>
  </si>
  <si>
    <t>https://fdc.nal.usda.gov/food-details/335240/nutrients</t>
  </si>
  <si>
    <t>Whole-wheat bread toast</t>
  </si>
  <si>
    <t>White Bread</t>
  </si>
  <si>
    <t>Half white Bread (30 g)</t>
  </si>
  <si>
    <t>https://fdc.nal.usda.gov/food-details/174924/nutrients</t>
  </si>
  <si>
    <t>Bread, white, commercially prepared (includes soft bread crumbs)</t>
  </si>
  <si>
    <t>A Whole Wheat Bread</t>
  </si>
  <si>
    <t>whole wheat bread (30 g)</t>
  </si>
  <si>
    <t>https://fdc.nal.usda.gov/food-details/172688/nutrients</t>
  </si>
  <si>
    <t>Bread, whole-wheat, commercially prepared</t>
  </si>
  <si>
    <t>flatbread</t>
  </si>
  <si>
    <t>flatbread (68 g)</t>
  </si>
  <si>
    <t>https://fdc.nal.usda.gov/food-details/171844/nutrients</t>
  </si>
  <si>
    <t>oatmeal bread</t>
  </si>
  <si>
    <t>oatmeal bread (30 g)</t>
  </si>
  <si>
    <t>https://fdc.nal.usda.gov/food-details/172678/nutrients</t>
  </si>
  <si>
    <t>Bread, oatmeal</t>
  </si>
  <si>
    <t>White Toast and Honey</t>
  </si>
  <si>
    <t>1 slice of white toast (30 g) + 1 tablespoon of honey (21 g)</t>
  </si>
  <si>
    <t>Honey: https://fdc.nal.usda.gov/food-details/172688/nutrients
toast: https://fdc.nal.usda.gov/food-details/325871/nutrients</t>
  </si>
  <si>
    <t>Toast with Honey</t>
  </si>
  <si>
    <t>Olives</t>
  </si>
  <si>
    <t>1 Olive (5 g)</t>
  </si>
  <si>
    <t>https://fdc.nal.usda.gov/food-details/169094/nutrients</t>
  </si>
  <si>
    <t>Olives, ripe, canned (small-extra large)</t>
  </si>
  <si>
    <t>Feta Cheese</t>
  </si>
  <si>
    <t>(30 g) of Feta cheese</t>
  </si>
  <si>
    <t>https://fdc.nal.usda.gov/food-details/2259796/nutrients</t>
  </si>
  <si>
    <t>Cheese, feta</t>
  </si>
  <si>
    <t>Cheddar</t>
  </si>
  <si>
    <t>(30 g) of cheddar cheese</t>
  </si>
  <si>
    <t>https://fdc.nal.usda.gov/food-details/173414/nutrients</t>
  </si>
  <si>
    <t>Cheese, cheddar</t>
  </si>
  <si>
    <t>Mozzarella</t>
  </si>
  <si>
    <t>(30 g) Mozzarella cheese</t>
  </si>
  <si>
    <t>https://fdc.nal.usda.gov/food-details/329370/nutrients</t>
  </si>
  <si>
    <t>Cheese, mozzarella, whole milk</t>
  </si>
  <si>
    <t>Smoked Turkey</t>
  </si>
  <si>
    <t>1 slice of smoked turkey (28 g)</t>
  </si>
  <si>
    <t>https://fdc.nal.usda.gov/food-details/174606/nutrients</t>
  </si>
  <si>
    <t>Turkey, Ground, raw</t>
  </si>
  <si>
    <t>egg</t>
  </si>
  <si>
    <t>1 egg</t>
  </si>
  <si>
    <t>https://fdc.nal.usda.gov/food-details/748967/nutrients</t>
  </si>
  <si>
    <t>Egg, whole, raw, fresh</t>
  </si>
  <si>
    <t>Egg fried with olive oil</t>
  </si>
  <si>
    <t>1 egg + 1 tsp of olive oil</t>
  </si>
  <si>
    <t>egg: https://fdc.nal.usda.gov/food-details/748967/nutrients
olive oil: https://fdc.nal.usda.gov/food-details/167737/nutrients</t>
  </si>
  <si>
    <t>Egg Fried with Olive Oil</t>
  </si>
  <si>
    <t>Turkey with Cheddar</t>
  </si>
  <si>
    <t>56 g of smoked turkey + 30 g of cheddar cheese + half a oatmeal bread (30 g)</t>
  </si>
  <si>
    <t>turkey: https://fdc.nal.usda.gov/food-details/174606/nutrients
cheddar: https://fdc.nal.usda.gov/food-details/173414/nutrients
oatmeal bread: https://fdc.nal.usda.gov/food-details/172678/nutrients</t>
  </si>
  <si>
    <t>Smoked Turkey and Cheddar Cheese Sandwich</t>
  </si>
  <si>
    <t>Egg with Cheddar and Oatmeal Bread</t>
  </si>
  <si>
    <t>1 egg + 1 teaspoon of olive oil + 30 g of cheddar cheese + oatmeal bread (30 g)</t>
  </si>
  <si>
    <t>egg: https://fdc.nal.usda.gov/food-details/748967/nutrients
olive oil: https://fdc.nal.usda.gov/food-details/167737/nutrients
oatmeal bread: https://fdc.nal.usda.gov/food-details/172678/nutrients</t>
  </si>
  <si>
    <t>boiled eggs</t>
  </si>
  <si>
    <t>2 boiled eggs + half a flatbread</t>
  </si>
  <si>
    <t>egg: https://fdc.nal.usda.gov/food-details/748967/nutrients
white bread: https://fdc.nal.usda.gov/food-details/174924/nutrients</t>
  </si>
  <si>
    <t>Boiled Eggs with bread</t>
  </si>
  <si>
    <t>Boiled eggs with Turkey and Cheddar</t>
  </si>
  <si>
    <t>2 eggs (100 g) + 30 g of cheddar cheese + 30 g of smoked turkey +  half white Bread (30 g)</t>
  </si>
  <si>
    <t>egg: https://fdc.nal.usda.gov/food-details/748967/nutrients
turkey: https://fdc.nal.usda.gov/food-details/174606/nutrients
cheddar: https://fdc.nal.usda.gov/food-details/173414/nutrients
white bread: https://fdc.nal.usda.gov/food-details/174924/nutrients</t>
  </si>
  <si>
    <t>fried eggs with black olives and bread</t>
  </si>
  <si>
    <t>2 fried eggs + 2 teaspoons of oil + 8 olives + Half white Bread (30 g)</t>
  </si>
  <si>
    <t>egg: https://fdc.nal.usda.gov/food-details/748967/nutrients
olive oil: https://fdc.nal.usda.gov/food-details/167737/nutrients
olive: https://fdc.nal.usda.gov/food-details/169094/nutrients
white bread: https://fdc.nal.usda.gov/food-details/174924/nutrients</t>
  </si>
  <si>
    <t>Fried eggs with olives and bread</t>
  </si>
  <si>
    <t>Bread Loaf wit Thyme</t>
  </si>
  <si>
    <t>oatmeal bread loaf (30 g) + 1 tablespoon of oil + 1 tablespoon of dried thyme</t>
  </si>
  <si>
    <t>Thyme: https://fdc.nal.usda.gov/food-details/170938/nutrients
olive oil: https://fdc.nal.usda.gov/food-details/167737/nutrients
oatmeal bread: https://fdc.nal.usda.gov/food-details/172678/nutrients</t>
  </si>
  <si>
    <t>Oatmeal Bread with Thyme</t>
  </si>
  <si>
    <t>White Toast with Mozzarella</t>
  </si>
  <si>
    <t>1 slice of white toast (30 g) + 30 g of Mozzarella cheese</t>
  </si>
  <si>
    <t>Mozzarella: https://fdc.nal.usda.gov/food-details/329370/nutrients
toast: https://fdc.nal.usda.gov/food-details/325871/nutrients</t>
  </si>
  <si>
    <t>Fava Beans with olive oil</t>
  </si>
  <si>
    <t>Half a cup of fava beans (130 g) + 1 teaspoon of olive oil</t>
  </si>
  <si>
    <t>Fava beans: https://fdc.nal.usda.gov/food-details/173753/nutrients
olive oil: https://fdc.nal.usda.gov/food-details/167737/nutrients</t>
  </si>
  <si>
    <t>Fava beans with olive oil</t>
  </si>
  <si>
    <t>A Cup Of Chickpeas with Olives</t>
  </si>
  <si>
    <t xml:space="preserve">Half a cup of chickpeas + 5 olives + 1 medium cucumber (100 g) </t>
  </si>
  <si>
    <t>olive: https://fdc.nal.usda.gov/food-details/169094/nutrients
chickpeas: https://fdc.nal.usda.gov/food-details/173757/nutrients
cucumber: https://fdc.nal.usda.gov/food-details/2346406/nutrients</t>
  </si>
  <si>
    <t>Chickpeas, Olives, and Cucumber Mix</t>
  </si>
  <si>
    <t>Fava Beans with olive oil and bread</t>
  </si>
  <si>
    <t>Half a cup of fava beans (130g) + 1 teaspoon of oil + oatmeal bread (30 g)</t>
  </si>
  <si>
    <t>Fava beans: https://fdc.nal.usda.gov/food-details/173753/nutrients
olive oil: https://fdc.nal.usda.gov/food-details/167737/nutrients
oatmeal bread: https://fdc.nal.usda.gov/food-details/172678/nutrients</t>
  </si>
  <si>
    <t>Yogurt</t>
  </si>
  <si>
    <t xml:space="preserve">half a cup yogurt (100 g) </t>
  </si>
  <si>
    <t>https://fdc.nal.usda.gov/food-details/2259793/nutrients</t>
  </si>
  <si>
    <t>Yogurt, plain, whole milk</t>
  </si>
  <si>
    <t>Fatteh</t>
  </si>
  <si>
    <t xml:space="preserve">Half a cup of chickpeas (100 g)+ Half white Bread (30 g) + 1 teaspoon of olive oil + half a cup yogurt (100 g) </t>
  </si>
  <si>
    <t>white bread: https://fdc.nal.usda.gov/food-details/174924/nutrients
olive oil: https://fdc.nal.usda.gov/food-details/167737/nutrients
chickpeas: https://fdc.nal.usda.gov/food-details/173757/nutrients
yogurt: https://fdc.nal.usda.gov/food-details/2259793/nutrients</t>
  </si>
  <si>
    <t>Custom dish</t>
  </si>
  <si>
    <t>Tea with Sugar</t>
  </si>
  <si>
    <t>1 cup of tea + 1 teaspoon of sugar</t>
  </si>
  <si>
    <t>sugar: https://fdc.nal.usda.gov/food-details/746784/nutrients</t>
  </si>
  <si>
    <t>tablespoon of mayonnaise</t>
  </si>
  <si>
    <t>https://fdc.nal.usda.gov/food-details/171009/nutrients</t>
  </si>
  <si>
    <t>Mayonnaise, made with tofu</t>
  </si>
  <si>
    <t>Tabbouleh</t>
  </si>
  <si>
    <t>1 medium cup of tabbouleh (180 g) + 1 tablespoon of oil</t>
  </si>
  <si>
    <t>Survey (FNDDS)</t>
  </si>
  <si>
    <t>tabbouleh: https://fdc.nal.usda.gov/food-details/2709131/nutrients
olive oil: https://fdc.nal.usda.gov/food-details/167737/nutrients</t>
  </si>
  <si>
    <t>250 grams Potato Salad</t>
  </si>
  <si>
    <t>Potatoes 155 g, egg 30 g, mayonnaise 20 g, celery 18 g, sweet pickle relish 15 g, onion 5 g, green pepper 2.5 g, pimiento 2.5 g, salt 2.5 g, dry mustard</t>
  </si>
  <si>
    <t>https://fdc.nal.usda.gov/food-details/169269/nutrients</t>
  </si>
  <si>
    <t>Potato Salad</t>
  </si>
  <si>
    <t>Fattoush</t>
  </si>
  <si>
    <t>1 cup of fattoush made up with 1 tablespoon of oil and  toasted bread (15 g)</t>
  </si>
  <si>
    <t>white bread: https://fdc.nal.usda.gov/food-details/174924/nutrients
olive oil: https://fdc.nal.usda.gov/food-details/167737/nutrients</t>
  </si>
  <si>
    <t>Quinoa Salad</t>
  </si>
  <si>
    <t>1 cup of cooked quinoa + half a cup of tomatoes + parsley + 1 tablespoon of oil</t>
  </si>
  <si>
    <t>tomato: https://fdc.nal.usda.gov/food-details/170457/nutrients
Quinoa: https://fdc.nal.usda.gov/food-details/168917/nutrients
olive oil: https://fdc.nal.usda.gov/food-details/167737/nutrients
parsley: https://fdc.nal.usda.gov/food-details/170416/nutrients</t>
  </si>
  <si>
    <t>coleslaw</t>
  </si>
  <si>
    <t>1 cup of shredded cabbage (100 g) + carrots (30 g) + 1 tablespoon of mayonnaise</t>
  </si>
  <si>
    <t>mayonnaise: https://fdc.nal.usda.gov/food-details/171009/nutrients
cabbage: https://fdc.nal.usda.gov/food-details/2346407/nutrients
carrot: https://fdc.nal.usda.gov/food-details/170393/nutrients</t>
  </si>
  <si>
    <t>Cabbage and Carrot Salad</t>
  </si>
  <si>
    <t>cabbage salad</t>
  </si>
  <si>
    <t>1 cup of shredded cabbage (100 g) + 1 medium tomato (123 g) + 1 tbsp oloive oil</t>
  </si>
  <si>
    <t>cabbage: https://fdc.nal.usda.gov/food-details/2346407/nutrients
tomatoes: https://fdc.nal.usda.gov/food-details/170457/nutrients
olive oil: https://fdc.nal.usda.gov/food-details/167737/nutrients</t>
  </si>
  <si>
    <t>Cabbage and Tomato Salad</t>
  </si>
  <si>
    <t>Greek Salad</t>
  </si>
  <si>
    <t>1 cup of lettuce + 5 olives + feta cheese (30 g) + 1 tablespoon of oil</t>
  </si>
  <si>
    <t>feta: https://fdc.nal.usda.gov/food-details/2259796/nutrients
iceberge: https://fdc.nal.usda.gov/food-details/2346388/nutrients
olive oil: https://fdc.nal.usda.gov/food-details/167737/nutrients
olive: https://fdc.nal.usda.gov/food-details/169094/nutrients</t>
  </si>
  <si>
    <t>Baba Ghanoush</t>
  </si>
  <si>
    <t>3 tablespoons of baba ghanoush (45 g)</t>
  </si>
  <si>
    <t>FNDDS</t>
  </si>
  <si>
    <t>https://fdc.nal.usda.gov/food-details/2710049/nutrients</t>
  </si>
  <si>
    <t>Baba Ghanouj</t>
  </si>
  <si>
    <t>Corn</t>
  </si>
  <si>
    <t>1 cup of corn (150 g)</t>
  </si>
  <si>
    <t>https://fdc.nal.usda.gov/food-details/168525/nutrients</t>
  </si>
  <si>
    <t>Corn, sweet, yellow, raw</t>
  </si>
  <si>
    <t>cooked Rice</t>
  </si>
  <si>
    <t>1 cup of cooked rice (158 g)</t>
  </si>
  <si>
    <t>https://fdc.nal.usda.gov/food-details/169753/nutrients</t>
  </si>
  <si>
    <t>Rice, white, long-grain, regular, cooked, enriched, with salt</t>
  </si>
  <si>
    <t>Cooked Brown Rice</t>
  </si>
  <si>
    <t>1 cup of cooked brown rice (202 g) + 1 tablespoon of oil</t>
  </si>
  <si>
    <t>rice: https://fdc.nal.usda.gov/food-details/169704/nutrients
olive oil: https://fdc.nal.usda.gov/food-details/167737/nutrients</t>
  </si>
  <si>
    <t>Pasta</t>
  </si>
  <si>
    <t>1 cup of cooked white pasta (100 g)</t>
  </si>
  <si>
    <t>https://fdc.nal.usda.gov/food-details/169751/nutrients</t>
  </si>
  <si>
    <t>Pasta, dry, enriched</t>
  </si>
  <si>
    <t>Coocked Bulgur</t>
  </si>
  <si>
    <t>half a cup cooked bulgur (90 g)</t>
  </si>
  <si>
    <t>https://fdc.nal.usda.gov/food-details/170287/nutrients</t>
  </si>
  <si>
    <t>Bulgur, cooked</t>
  </si>
  <si>
    <t>baked potatoes</t>
  </si>
  <si>
    <t>baked potatoes (100 g) without oil</t>
  </si>
  <si>
    <t>baked potatoes: https://fdc.nal.usda.gov/food-details/170033/nutrients</t>
  </si>
  <si>
    <t>Potatoes, baked, flesh, without salt</t>
  </si>
  <si>
    <t>Baked potatoes (100 g) + 1 teaspoon oil</t>
  </si>
  <si>
    <t>olive oil: https://fdc.nal.usda.gov/food-details/167737/nutrients
baked potatoes: https://fdc.nal.usda.gov/food-details/170033/nutrients</t>
  </si>
  <si>
    <t>Baked Potato</t>
  </si>
  <si>
    <t>Baked potatoes with cheese</t>
  </si>
  <si>
    <t>1 cup grilled potatoes (170 g) + 30 g mozzarella cheese</t>
  </si>
  <si>
    <t>Mozzarella: https://fdc.nal.usda.gov/food-details/329370/nutrients
baked potatoes: https://fdc.nal.usda.gov/food-details/170033/nutrients</t>
  </si>
  <si>
    <t>Grilled Potatoes with Mozzarella Cheese</t>
  </si>
  <si>
    <t>fried potato sticks</t>
  </si>
  <si>
    <t xml:space="preserve">cup  of fries (117 g) </t>
  </si>
  <si>
    <t>https://fdc.nal.usda.gov/food-details/170698/nutrients</t>
  </si>
  <si>
    <t>Potatoes, french fried, all types, salt added in processing, frozen, home-prepared, oven heated</t>
  </si>
  <si>
    <t>Beef low fat</t>
  </si>
  <si>
    <t>Beef low fat (150 g)</t>
  </si>
  <si>
    <t>https://fdc.nal.usda.gov/food-details/2514743/nutrients</t>
  </si>
  <si>
    <t>Beef, ground, 95% lean meat / 5% fat, raw</t>
  </si>
  <si>
    <t>grilled chicken breast</t>
  </si>
  <si>
    <t>grilled chicken breast (150 g)</t>
  </si>
  <si>
    <t>https://fdc.nal.usda.gov/food-details/331960/nutrients</t>
  </si>
  <si>
    <t>Chicken, ground, raw</t>
  </si>
  <si>
    <t>Tuna in water</t>
  </si>
  <si>
    <t>1 can tuna in water (156 g)</t>
  </si>
  <si>
    <t>https://fdc.nal.usda.gov/food-details/173709/nutrients</t>
  </si>
  <si>
    <t>Fish, tuna, light, canned in water, drained solids</t>
  </si>
  <si>
    <t>cooking Cream</t>
  </si>
  <si>
    <t>1 tbsp of cooking Cream (15 g)</t>
  </si>
  <si>
    <t>https://fdc.nal.usda.gov/food-details/170859/nutrients</t>
  </si>
  <si>
    <t>Cream, fluid, heavy whipping</t>
  </si>
  <si>
    <t>Pasta Alfredo</t>
  </si>
  <si>
    <t>Pasta (100 g) + grilled chicken breast (150 g) + 2 tablespoons of cooking cream</t>
  </si>
  <si>
    <t>pasta: https://fdc.nal.usda.gov/food-details/169751/nutrients
breast: https://fdc.nal.usda.gov/food-details/331960/nutrients
cream: https://fdc.nal.usda.gov/food-details/170859/nutrients</t>
  </si>
  <si>
    <t>Pasta with Grilled Chicken and Cream Sauce</t>
  </si>
  <si>
    <t>boiled okra with oil</t>
  </si>
  <si>
    <t>1 cup of boiled okra in 1 tbsp oil (100)</t>
  </si>
  <si>
    <t>okra: https://fdc.nal.usda.gov/food-details/169260/nutrients
olive oil: https://fdc.nal.usda.gov/food-details/167737/nutrients</t>
  </si>
  <si>
    <t>Boiled Okra</t>
  </si>
  <si>
    <t>okra with Beef</t>
  </si>
  <si>
    <t>1 cup boiled okra (100 g) + Beef low fat (150 g) + cup cooked rice (158 g) + 1 tbsp oil</t>
  </si>
  <si>
    <t>Beef: https://fdc.nal.usda.gov/food-details/2514743/nutrients
okra: https://fdc.nal.usda.gov/food-details/170098/nutrients
olive oil: https://fdc.nal.usda.gov/food-details/167737/nutrients
rice: https://fdc.nal.usda.gov/food-details/169753/nutrients</t>
  </si>
  <si>
    <t>Okra, Beef and Rice</t>
  </si>
  <si>
    <t>chicken patty</t>
  </si>
  <si>
    <t>1 Chicken patty (60 g)</t>
  </si>
  <si>
    <t>https://fdc.nal.usda.gov/food-details/171512/nutrients</t>
  </si>
  <si>
    <t>cooked Beef</t>
  </si>
  <si>
    <t>Beef low fat (150 g) cooked with 1 tablespoon oil + 30 g oatmeal bread</t>
  </si>
  <si>
    <t>Beef: https://fdc.nal.usda.gov/food-details/2514743/nutrients
olive oil: https://fdc.nal.usda.gov/food-details/167737/nutrients
oatmeal bread: https://fdc.nal.usda.gov/food-details/172678/nutrients</t>
  </si>
  <si>
    <t>chicken burger with potato</t>
  </si>
  <si>
    <t>3 grilled Chicken patty (180 g) + fried potato sticks (70 g)</t>
  </si>
  <si>
    <t>chicken: https://fdc.nal.usda.gov/food-details/171512/nutrients
fries: https://fdc.nal.usda.gov/food-details/170698/nutrients</t>
  </si>
  <si>
    <t>Grilled Chicken Patty with Fried Potato Sticks</t>
  </si>
  <si>
    <t>Taco</t>
  </si>
  <si>
    <t>1 Taco shells (13 g)</t>
  </si>
  <si>
    <t>https://fdc.nal.usda.gov/food-details/172800/nutrients</t>
  </si>
  <si>
    <t>Taco shells, baked, without added salt</t>
  </si>
  <si>
    <t>maxican chicken</t>
  </si>
  <si>
    <t>2 tacos + chicken breast (150 g) + 1 tbsp yogurt with garlic + half a cup iceberge (50 g)</t>
  </si>
  <si>
    <t>taco: https://fdc.nal.usda.gov/food-details/172800/nutrients
yogurt: https://fdc.nal.usda.gov/food-details/2259793/nutrients
chicken: https://fdc.nal.usda.gov/food-details/171512/nutrients
iceberge: https://fdc.nal.usda.gov/food-details/2346388/nutrients</t>
  </si>
  <si>
    <t>Tacos with Chicken and Yogurt Garlic Sauce</t>
  </si>
  <si>
    <t>rice with chicken and salad</t>
  </si>
  <si>
    <t>1 cup cooked rice (158 g) + grilled breast chicken (150 g) + 1 cup salad + 1 tbsp oil</t>
  </si>
  <si>
    <t>breast: https://fdc.nal.usda.gov/food-details/331960/nutrients
olive oil: https://fdc.nal.usda.gov/food-details/167737/nutrients
rice: https://fdc.nal.usda.gov/food-details/169753/nutrients</t>
  </si>
  <si>
    <t>Chicken Shawarma</t>
  </si>
  <si>
    <t>grilled chicken breast (150 g) + 1 spear cucumber pickles (40 g) + 1 tablespoon of mayonnaise + half white Bread (30 g)</t>
  </si>
  <si>
    <t>breast: https://fdc.nal.usda.gov/food-details/331960/nutrients
white bread: https://fdc.nal.usda.gov/food-details/174924/nutrients
mayonaisse: https://fdc.nal.usda.gov/food-details/171009/nutrients
pickles: https://fdc.nal.usda.gov/food-details/324653/nutrients</t>
  </si>
  <si>
    <t>Grilled chicken breast with pickles, mayonnaise, and bread</t>
  </si>
  <si>
    <t>Tuna Sandwish</t>
  </si>
  <si>
    <t>Tuna with water (165 g) + 1 tablespoon of mayonnaise + oatmeal bread (30 g)</t>
  </si>
  <si>
    <t>tuna: https://fdc.nal.usda.gov/food-details/173709/nutrients
oatmeal bread: https://fdc.nal.usda.gov/food-details/172678/nutrients
mayonaisse: https://fdc.nal.usda.gov/food-details/171009/nutrients</t>
  </si>
  <si>
    <t>Tuna Sandwich</t>
  </si>
  <si>
    <t>chicken sandwish</t>
  </si>
  <si>
    <t>80 g grilled chicken breast + 1 tablespoon of mayonnaise + oatmeal bread (30 g)</t>
  </si>
  <si>
    <t>breast: https://fdc.nal.usda.gov/food-details/331960/nutrients
oatmeal bread: https://fdc.nal.usda.gov/food-details/172678/nutrients
mayonaisse: https://fdc.nal.usda.gov/food-details/171009/nutrients</t>
  </si>
  <si>
    <t>spinach with Beef</t>
  </si>
  <si>
    <t>1 cup of cooked spinach (200 g) + Beef low fat (150 g) + cup cooked rice (158 g) + 1 tbsp oil</t>
  </si>
  <si>
    <t>spinach: https://fdc.nal.usda.gov/food-details/170531/nutrients
beef: https://fdc.nal.usda.gov/food-details/2514743/nutrients
olive oil: https://fdc.nal.usda.gov/food-details/167737/nutrients
rice: https://fdc.nal.usda.gov/food-details/169753/nutrients</t>
  </si>
  <si>
    <t>Beef sausage</t>
  </si>
  <si>
    <t>Beef sausage (19 g)</t>
  </si>
  <si>
    <t>https://fdc.nal.usda.gov/food-details/746779/nutrients</t>
  </si>
  <si>
    <t>Sausage, beef, fresh, cooked</t>
  </si>
  <si>
    <t>baked potatoes: https://fdc.nal.usda.gov/food-details/170033/nutrients
mayonaisse: https://fdc.nal.usda.gov/food-details/171009/nutrients</t>
  </si>
  <si>
    <t>tuna salad</t>
  </si>
  <si>
    <t>1 cup of veggies + 165 g tuna with water + 1 tsp olive oil</t>
  </si>
  <si>
    <t>tuna: https://fdc.nal.usda.gov/food-details/173709/nutrients
olive oil: https://fdc.nal.usda.gov/food-details/167737/nutrients</t>
  </si>
  <si>
    <t>Tuna and Vegetable Mix</t>
  </si>
  <si>
    <t>smoked salmon</t>
  </si>
  <si>
    <t>smoked salmon (150 g) + 1 tsp oil</t>
  </si>
  <si>
    <t>salmon: https://fdc.nal.usda.gov/food-details/171985/nutrients
olive oil: https://fdc.nal.usda.gov/food-details/167737/nutrients</t>
  </si>
  <si>
    <t>Smoked Salmon</t>
  </si>
  <si>
    <t>Chicken Shawarma with fries</t>
  </si>
  <si>
    <t>grilled chicken breast (150 g) + cup  of fries (117 g)  + 1 spear cucumber pickles (40 g) + 1 tablespoon of mayonnaise + half white Bread (30 g)</t>
  </si>
  <si>
    <t>breast: https://fdc.nal.usda.gov/food-details/331960/nutrients
white bread: https://fdc.nal.usda.gov/food-details/174924/nutrients
mayonaisse: https://fdc.nal.usda.gov/food-details/171009/nutrients
pickles: https://fdc.nal.usda.gov/food-details/324653/nutrients
fries: https://fdc.nal.usda.gov/food-details/170698/nutrients</t>
  </si>
  <si>
    <t>Custom Dish</t>
  </si>
  <si>
    <t>chickpeas and Meat</t>
  </si>
  <si>
    <t>Half a cup of boiled chickpeas (100 g) + Beef low fat (60 g) + 1 tbsp olive oil</t>
  </si>
  <si>
    <t>beef: https://fdc.nal.usda.gov/food-details/2514743/nutrients
olive oil: https://fdc.nal.usda.gov/food-details/167737/nutrients
chickpeas: https://fdc.nal.usda.gov/food-details/173757/nutrients</t>
  </si>
  <si>
    <t>pasta with veggies</t>
  </si>
  <si>
    <t>1 cup of pasta (100 g) + half a cup bell pepper (100g) + 1 medium onion + 1 medium tomato (123 g) + 1 tbsp olove oil</t>
  </si>
  <si>
    <t>pasta: https://fdc.nal.usda.gov/food-details/169751/nutrients
bell pepper: https://fdc.nal.usda.gov/food-details/2258590/nutrients
onion: https://fdc.nal.usda.gov/food-details/1104962/nutrients
olive oil: https://fdc.nal.usda.gov/food-details/167737/nutrients
tomato: https://fdc.nal.usda.gov/food-details/170457/nutrients</t>
  </si>
  <si>
    <t>Pasta with Vegetables</t>
  </si>
  <si>
    <t>Tawook with rice</t>
  </si>
  <si>
    <t>Tawook (150g) + 1 cup of coocked rice (158 g) + 1 tbsp oil</t>
  </si>
  <si>
    <t>chicken: breast: https://fdc.nal.usda.gov/food-details/331960/nutrients
olive oil: https://fdc.nal.usda.gov/food-details/167737/nutrients
rice: https://fdc.nal.usda.gov/food-details/169753/nutrients</t>
  </si>
  <si>
    <t>Tawook with Rice</t>
  </si>
  <si>
    <t>Fajita</t>
  </si>
  <si>
    <t>fajita, breast (100g) with half a cup colorful bell pepper made up with 1 tbsp olive oil + half a cup fries (117g) + half white bread (30 g)</t>
  </si>
  <si>
    <t>chicken: breast: https://fdc.nal.usda.gov/food-details/331960/nutrients
olive oil: https://fdc.nal.usda.gov/food-details/167737/nutrients
bell pepper: https://fdc.nal.usda.gov/food-details/2258590/nutrients
white bread: https://fdc.nal.usda.gov/food-details/174924/nutrients
fries: https://fdc.nal.usda.gov/food-details/170698/nutrients</t>
  </si>
  <si>
    <t>Fajita with Fries and Bread</t>
  </si>
  <si>
    <t>Bulgur with chicken</t>
  </si>
  <si>
    <t>1 cup cooked Bulgur (180 g) + 100 g grilled chicken breast + 1 tablespoon olive oil</t>
  </si>
  <si>
    <t>chicken: breast: https://fdc.nal.usda.gov/food-details/331960/nutrients
olive oil: https://fdc.nal.usda.gov/food-details/167737/nutrients 
bulgur: https://fdc.nal.usda.gov/food-details/170287/nutrients</t>
  </si>
  <si>
    <t>Bulgur with Chicken</t>
  </si>
  <si>
    <t>green beans</t>
  </si>
  <si>
    <t>1 cup of green beans (125 g) coocked with 1 tbsp olive oil + 1 medium tomato (123 g) + half white bread (30 g)</t>
  </si>
  <si>
    <t>beans: https://fdc.nal.usda.gov/food-details/169321/nutrients
olive oil: https://fdc.nal.usda.gov/food-details/167737/nutrients
white bread: https://fdc.nal.usda.gov/food-details/174924/nutrients
tomatoes: https://fdc.nal.usda.gov/food-details/170457/nutrients</t>
  </si>
  <si>
    <t>Green beans with olive oil, tomato, and bread</t>
  </si>
  <si>
    <t>cheese pasta</t>
  </si>
  <si>
    <t>cooked white pasta (200 g) + whole Mozzarella (60 g)</t>
  </si>
  <si>
    <t>mozzarella: https://fdc.nal.usda.gov/food-details/329370/nutrients
pasta: https://fdc.nal.usda.gov/food-details/169751/nutrients</t>
  </si>
  <si>
    <t>Pasta with Mozzarella</t>
  </si>
  <si>
    <t>pasta with meat</t>
  </si>
  <si>
    <t>1 cup cooked white pasta (200g) + low fat beef (60 g) + 1 tbsp olive oil</t>
  </si>
  <si>
    <t>beef: https://fdc.nal.usda.gov/food-details/2514743/nutrients
pasta: https://fdc.nal.usda.gov/food-details/169751/nutrients
olive oil: https://fdc.nal.usda.gov/food-details/167737/nutrients</t>
  </si>
  <si>
    <t>Pasta with beef and olive oil</t>
  </si>
  <si>
    <t>lasagna with meat</t>
  </si>
  <si>
    <t>1 serving lasanga (475 g)</t>
  </si>
  <si>
    <t>https://fdc.nal.usda.gov/food-details/169850/nutrients</t>
  </si>
  <si>
    <t>Lasagna</t>
  </si>
  <si>
    <t>Mujadara</t>
  </si>
  <si>
    <t>lentil (150 g) with onion and 1 tbsp olive oil + 1 cucumber + 1 tomato</t>
  </si>
  <si>
    <t>Lentils: https://fdc.nal.usda.gov/food-details/172421/nutrients
onion: https://fdc.nal.usda.gov/food-details/1104962/nutrients
olive oil: https://fdc.nal.usda.gov/food-details/167737/nutrients
tomato: https://fdc.nal.usda.gov/food-details/170457/nutrients
cucumber: https://fdc.nal.usda.gov/food-details/2346406/nutrients</t>
  </si>
  <si>
    <t>Lentil Salad</t>
  </si>
  <si>
    <t>yogut non fat</t>
  </si>
  <si>
    <t>1 cup yogurt nonfat (245 g)</t>
  </si>
  <si>
    <t>https://fdc.nal.usda.gov/food-details/2647437/nutrients</t>
  </si>
  <si>
    <t>Yogurt, Greek, strawberry, nonfat</t>
  </si>
  <si>
    <t>yogut full fat</t>
  </si>
  <si>
    <t>1 cup yogurt full fat (245 g)</t>
  </si>
  <si>
    <t>yogurt nonfat with cucumber</t>
  </si>
  <si>
    <t>cup non-fat yogurt (245g) + 1 medium chopped cucumber (100g)</t>
  </si>
  <si>
    <t>yogurt: https://fdc.nal.usda.gov/food-details/2647437/nutrients
cucumber: https://fdc.nal.usda.gov/food-details/2346406/nutrients</t>
  </si>
  <si>
    <t>Yogurt and cucumber mix</t>
  </si>
  <si>
    <t>waffle</t>
  </si>
  <si>
    <t>1 waffle plain (28 g)</t>
  </si>
  <si>
    <t>https://fdc.nal.usda.gov/food-details/175039/nutrients</t>
  </si>
  <si>
    <t>Waffles, plain, prepared from recipe</t>
  </si>
  <si>
    <t>crepe</t>
  </si>
  <si>
    <t>1 crepe plain (65 g)</t>
  </si>
  <si>
    <t>https://fdc.nal.usda.gov/food-details/2708342/nutrients</t>
  </si>
  <si>
    <t>Crepe, plain</t>
  </si>
  <si>
    <t>nutella</t>
  </si>
  <si>
    <t>2 tbsp nutella</t>
  </si>
  <si>
    <t>https://fdc.nal.usda.gov/food-details/2710289/nutrients</t>
  </si>
  <si>
    <t>nutella crepe and banana</t>
  </si>
  <si>
    <t>1 crepe plain (65 g) + 2 tbsp nutella + banana (65 g)</t>
  </si>
  <si>
    <t>crepe: https://fdc.nal.usda.gov/food-details/2708342/nutrients
nutella: https://fdc.nal.usda.gov/food-details/2710289/nutrients
banana: https://fdc.nal.usda.gov/food-details/173944/nutrients</t>
  </si>
  <si>
    <t>Crepe with Nutella and Banana</t>
  </si>
  <si>
    <t>Waffle with nutella and banana</t>
  </si>
  <si>
    <t>1 waffle plain (28 g) + 2 tbsp nutella + half a banana (65 g)</t>
  </si>
  <si>
    <t>waffle: https://fdc.nal.usda.gov/food-details/175039/nutrients
nutella: https://fdc.nal.usda.gov/food-details/2710289/nutrients
banana: https://fdc.nal.usda.gov/food-details/173944/nutrients</t>
  </si>
  <si>
    <t>Waffle with Nutella and Banana</t>
  </si>
  <si>
    <t>Cake</t>
  </si>
  <si>
    <t>1 piece spongy cake (38 g)</t>
  </si>
  <si>
    <t>https://fdc.nal.usda.gov/food-details/172706/nutrients</t>
  </si>
  <si>
    <t>Spongy Cake</t>
  </si>
  <si>
    <t>banana chips</t>
  </si>
  <si>
    <t>banana chips (28 g)</t>
  </si>
  <si>
    <t>https://fdc.nal.usda.gov/food-details/168849/nutrients</t>
  </si>
  <si>
    <t>Snacks, banana chips</t>
  </si>
  <si>
    <t>Doughnuts</t>
  </si>
  <si>
    <t>1 medium doughnut with chocolate (43 g)</t>
  </si>
  <si>
    <t>https://fdc.nal.usda.gov/food-details/174993/nutrients</t>
  </si>
  <si>
    <t>Doughnut, medium, with chocolate</t>
  </si>
  <si>
    <t>1 medium doughnut covered with chocolate (43 g)</t>
  </si>
  <si>
    <t>https://fdc.nal.usda.gov/food-details/174991/nutrients</t>
  </si>
  <si>
    <t>Doughnut, medium, covered with chocolate</t>
  </si>
  <si>
    <t>Pretzels</t>
  </si>
  <si>
    <t>1 small pretzles (62 g)</t>
  </si>
  <si>
    <t>https://fdc.nal.usda.gov/food-details/169064/nutrients</t>
  </si>
  <si>
    <t>Pretzels, soft</t>
  </si>
  <si>
    <t>Milk shake vanilla</t>
  </si>
  <si>
    <t>1 container Milk shakes vanilla (250 ml - 275 g)</t>
  </si>
  <si>
    <t>https://fdc.nal.usda.gov/food-details/170884/nutrients</t>
  </si>
  <si>
    <t>Milk shakes, vanilla</t>
  </si>
  <si>
    <t>Milk shake chocolate</t>
  </si>
  <si>
    <t>1 container Milk shakes chocolate (250 ml - 275 g)</t>
  </si>
  <si>
    <t>https://fdc.nal.usda.gov/food-details/170883/nutrients</t>
  </si>
  <si>
    <t>Milk shakes, chocolate</t>
  </si>
  <si>
    <t>Baklava</t>
  </si>
  <si>
    <t>1 piece baklava (80 g)</t>
  </si>
  <si>
    <t>https://fdc.nal.usda.gov/food-details/2708044/nutrients</t>
  </si>
  <si>
    <t>butter croissant</t>
  </si>
  <si>
    <t>1 mini croissant (28 g)</t>
  </si>
  <si>
    <t>http://fdc.nal.usda.gov/food-details/174987/nutrients</t>
  </si>
  <si>
    <t>Croissant</t>
  </si>
  <si>
    <t>croissant with cheese</t>
  </si>
  <si>
    <t>1 croissant with cheese (57 g)</t>
  </si>
  <si>
    <t>https://fdc.nal.usda.gov/food-details/174989/nutrients</t>
  </si>
  <si>
    <t>Croissant with cheese</t>
  </si>
  <si>
    <t>Chocolate Croissant</t>
  </si>
  <si>
    <t>1 Croissant with chocolate (57 g)</t>
  </si>
  <si>
    <t>https://fdc.nal.usda.gov/food-details/2707680/nutrients</t>
  </si>
  <si>
    <t>Croissant with chocolate</t>
  </si>
  <si>
    <t>apple croissant</t>
  </si>
  <si>
    <t>1 croissant with apple (57 g)</t>
  </si>
  <si>
    <t>https://fdc.nal.usda.gov/food-details/174988/nutrients</t>
  </si>
  <si>
    <t>Croissant with apple</t>
  </si>
  <si>
    <t>croissant, with egg, cheese, and sausage</t>
  </si>
  <si>
    <t>1 medium croissant, with egg, cheese, and sausage (170 g)</t>
  </si>
  <si>
    <t>https://fdc.nal.usda.gov/food-details/173271/nutrients</t>
  </si>
  <si>
    <t>Croissant with egg, cheese, and sausage</t>
  </si>
  <si>
    <t>Chocolate Bar</t>
  </si>
  <si>
    <t>chocolate bar (20 g)</t>
  </si>
  <si>
    <t>https://fdc.nal.usda.gov/food-details/167977/nutrients</t>
  </si>
  <si>
    <t>Candies, milk chocolate</t>
  </si>
  <si>
    <t>Dark Chocolate Bar</t>
  </si>
  <si>
    <t>1 Dark chocolate bar (17 g)</t>
  </si>
  <si>
    <t>https://fdc.nal.usda.gov/food-details/169592/nutrients</t>
  </si>
  <si>
    <t>Candies, hard</t>
  </si>
  <si>
    <t>White Chocolate Bar</t>
  </si>
  <si>
    <t>1 White chocolate bar (20 g)</t>
  </si>
  <si>
    <t>https://fdc.nal.usda.gov/food-details/167571/nutrients</t>
  </si>
  <si>
    <t>Candies, white chocolate</t>
  </si>
  <si>
    <t>KITKAT</t>
  </si>
  <si>
    <t>1 KITKAT finger (16 g)</t>
  </si>
  <si>
    <t>https://fdc.nal.usda.gov/food-details/167992/nutrients</t>
  </si>
  <si>
    <t>pop corn chicken</t>
  </si>
  <si>
    <t>10 pieces popcorn chicken (56 g)</t>
  </si>
  <si>
    <t>https://fdc.nal.usda.gov/food-details/170737/nutrients</t>
  </si>
  <si>
    <t>Popcorn Chicken</t>
  </si>
  <si>
    <t>Vanilla Ice Cream</t>
  </si>
  <si>
    <t>Half a cup vanilla ice cream  (107 g)</t>
  </si>
  <si>
    <t>https://fdc.nal.usda.gov/food-details/167573/nutrients</t>
  </si>
  <si>
    <t>Ice creams, vanilla</t>
  </si>
  <si>
    <t>Light Vanilla Ice cream</t>
  </si>
  <si>
    <t>Half a cup of light vanilla ice cream  (76 g)</t>
  </si>
  <si>
    <t>https://fdc.nal.usda.gov/food-details/167572/nutrients</t>
  </si>
  <si>
    <t>Ice creams, strawberry</t>
  </si>
  <si>
    <t>Light Chocolate Ice Cream</t>
  </si>
  <si>
    <t>Half a cup of light Chocolate ice cream  (68 g)</t>
  </si>
  <si>
    <t>https://fdc.nal.usda.gov/food-details/167585/nutrients</t>
  </si>
  <si>
    <t>Ice creams, chocolate, light</t>
  </si>
  <si>
    <t>greek yogurt</t>
  </si>
  <si>
    <t xml:space="preserve"> greek yogurt (100 grams)</t>
  </si>
  <si>
    <t>https://fdc.nal.usda.gov/food-details/2259794/nutrients</t>
  </si>
  <si>
    <t>Yogurt, Greek, plain, nonfat</t>
  </si>
  <si>
    <t>strawberry greek yogurt</t>
  </si>
  <si>
    <t>strawberry greek yogurt nonfat (150 grams)</t>
  </si>
  <si>
    <t>https://fdc.nal.usda.gov/food-details/330415/nutrients</t>
  </si>
  <si>
    <t>Yogurt, Greek, nonfat, strawberry, DANNON OIKOS</t>
  </si>
  <si>
    <t>greek yogurt with blueberries</t>
  </si>
  <si>
    <t xml:space="preserve"> greek yogurt (100 grams) + blueberries (25 g)</t>
  </si>
  <si>
    <t>Yogurt: https://fdc.nal.usda.gov/food-details/2259794/nutrients
blueberries: https://fdc.nal.usda.gov/food-details/2346411/nutrients</t>
  </si>
  <si>
    <t>Greek Yogurt with Blueberries</t>
  </si>
  <si>
    <t>oatmeal cookies with raisins</t>
  </si>
  <si>
    <t>oatmeal cookies with raisins (27 g)</t>
  </si>
  <si>
    <t>https://fdc.nal.usda.gov/food-details/333008/nutrients</t>
  </si>
  <si>
    <t>Oatmeal cookies with raisins</t>
  </si>
  <si>
    <t>Apricot Jam</t>
  </si>
  <si>
    <t>1 tbsp of Apricot Jam</t>
  </si>
  <si>
    <t>https://fdc.nal.usda.gov/food-details/170645/nutrients</t>
  </si>
  <si>
    <t>Jams and preserves, apricot</t>
  </si>
  <si>
    <t>White Toast and Apricot jam</t>
  </si>
  <si>
    <t>1 slice of white toast (30 g) + 1 tbsp of Apricot jam</t>
  </si>
  <si>
    <t>Jam: https://fdc.nal.usda.gov/food-details/170645/nutrients
toast: https://fdc.nal.usda.gov/food-details/325871/nutrients</t>
  </si>
  <si>
    <t>Toast with Apricot Jam</t>
  </si>
  <si>
    <t>White Toast with peanut butter</t>
  </si>
  <si>
    <t>1 slice of white toast (30 g) + 2 tablespoons of peanut butter (32 g)</t>
  </si>
  <si>
    <t>toast: https://fdc.nal.usda.gov/food-details/325871/nutrients
peanut butter: https://fdc.nal.usda.gov/food-details/2262072/nutrients</t>
  </si>
  <si>
    <t>White Toast with Peanut Butter</t>
  </si>
  <si>
    <t>Wednesday, January 04, 2026</t>
  </si>
  <si>
    <t>Wednesday, January 04, 2027</t>
  </si>
  <si>
    <t>Wednesday, January 04, 2028</t>
  </si>
  <si>
    <t>Wednesday, January 04, 2029</t>
  </si>
  <si>
    <t>Wednesday, January 04, 2030</t>
  </si>
  <si>
    <t>Wednesday, January 04, 2031</t>
  </si>
  <si>
    <t>Wednesday, January 04, 2032</t>
  </si>
  <si>
    <t>Wednesday, January 04, 2033</t>
  </si>
  <si>
    <t>Wednesday, January 04, 2034</t>
  </si>
  <si>
    <t>Wednesday, January 04, 2035</t>
  </si>
  <si>
    <t>Wednesday, January 04, 2036</t>
  </si>
  <si>
    <t>Wednesday, January 04, 2037</t>
  </si>
  <si>
    <t>Wednesday, January 04, 2038</t>
  </si>
  <si>
    <t>Wednesday, January 04, 2039</t>
  </si>
  <si>
    <t>Wednesday, January 04, 2040</t>
  </si>
  <si>
    <t>Wednesday, January 04, 2041</t>
  </si>
  <si>
    <t>Wednesday, January 04, 2042</t>
  </si>
  <si>
    <t>Wednesday, January 04, 2043</t>
  </si>
  <si>
    <t>Wednesday, January 04, 2044</t>
  </si>
  <si>
    <t>Wednesday, January 04, 2045</t>
  </si>
  <si>
    <t>Wednesday, January 04, 2046</t>
  </si>
  <si>
    <t>Wednesday, January 04, 2047</t>
  </si>
  <si>
    <t>Wednesday, January 04, 2048</t>
  </si>
  <si>
    <t>Wednesday, January 04, 2049</t>
  </si>
  <si>
    <t>Wednesday, January 04, 2050</t>
  </si>
  <si>
    <t>Wednesday, January 04, 2051</t>
  </si>
  <si>
    <t>Wednesday, January 04, 2052</t>
  </si>
  <si>
    <t>Wednesday, January 04, 2053</t>
  </si>
  <si>
    <t>Wednesday, January 04, 2054</t>
  </si>
  <si>
    <t>Wednesday, January 04, 2055</t>
  </si>
  <si>
    <t>Wednesday, January 04, 2056</t>
  </si>
  <si>
    <t>Wednesday, January 04, 2057</t>
  </si>
  <si>
    <t>Wednesday, January 04, 2058</t>
  </si>
  <si>
    <t>Wednesday, January 04, 2059</t>
  </si>
  <si>
    <t>Wednesday, January 04, 2060</t>
  </si>
  <si>
    <t>Wednesday, January 04, 2061</t>
  </si>
  <si>
    <t>Wednesday, January 04, 2062</t>
  </si>
  <si>
    <t>Wednesday, January 04, 2063</t>
  </si>
  <si>
    <t>Wednesday, January 04, 2064</t>
  </si>
  <si>
    <t>Wednesday, January 04, 2065</t>
  </si>
  <si>
    <t>Wednesday, January 04, 2066</t>
  </si>
  <si>
    <t>Wednesday, January 04, 2067</t>
  </si>
  <si>
    <t>Wednesday, January 04, 2068</t>
  </si>
  <si>
    <t>Wednesday, January 04, 2069</t>
  </si>
  <si>
    <t>Wednesday, January 04, 2070</t>
  </si>
  <si>
    <t>Wednesday, January 04, 2071</t>
  </si>
  <si>
    <t>Wednesday, January 04, 2072</t>
  </si>
  <si>
    <t>Wednesday, January 04, 2073</t>
  </si>
  <si>
    <t>Wednesday, January 04, 2074</t>
  </si>
  <si>
    <t>Wednesday, January 04, 2075</t>
  </si>
  <si>
    <t>Wednesday, January 04, 2076</t>
  </si>
  <si>
    <t>Wednesday, January 04, 2077</t>
  </si>
  <si>
    <t>Wednesday, January 04, 2078</t>
  </si>
  <si>
    <t>Wednesday, January 04, 2079</t>
  </si>
  <si>
    <t>Wednesday, January 04, 2080</t>
  </si>
  <si>
    <t>Wednesday, January 04, 2081</t>
  </si>
  <si>
    <t>Wednesday, January 04, 2082</t>
  </si>
  <si>
    <t>Wednesday, January 04, 2083</t>
  </si>
  <si>
    <t>Wednesday, January 04, 2084</t>
  </si>
  <si>
    <t>Wednesday, January 04, 2085</t>
  </si>
  <si>
    <t>Wednesday, January 04, 2086</t>
  </si>
  <si>
    <t>Wednesday, January 04, 2087</t>
  </si>
  <si>
    <t>Wednesday, January 04, 2088</t>
  </si>
  <si>
    <t>Wednesday, January 04, 2089</t>
  </si>
  <si>
    <t>Wednesday, January 04, 2090</t>
  </si>
  <si>
    <t>Wednesday, January 04, 2091</t>
  </si>
  <si>
    <t>Wednesday, January 04, 2092</t>
  </si>
  <si>
    <t>Wednesday, January 04, 2093</t>
  </si>
  <si>
    <t>Wednesday, January 04, 2094</t>
  </si>
  <si>
    <t>Wednesday, January 04, 2095</t>
  </si>
  <si>
    <t>Wednesday, January 04, 2096</t>
  </si>
  <si>
    <t>Wednesday, January 04, 2097</t>
  </si>
  <si>
    <t>Wednesday, January 04, 2098</t>
  </si>
  <si>
    <t>Wednesday, January 04, 2099</t>
  </si>
  <si>
    <t>Wednesday, January 04, 2100</t>
  </si>
  <si>
    <t>Wednesday, January 04, 2101</t>
  </si>
  <si>
    <t>Wednesday, January 04, 2102</t>
  </si>
  <si>
    <t>Wednesday, January 04, 2103</t>
  </si>
  <si>
    <t>Wednesday, January 04, 2104</t>
  </si>
  <si>
    <t>Wednesday, January 04, 2105</t>
  </si>
  <si>
    <t>Wednesday, January 04, 2106</t>
  </si>
  <si>
    <t>Wednesday, January 04, 2107</t>
  </si>
  <si>
    <t>Wednesday, January 04, 2108</t>
  </si>
  <si>
    <t>Wednesday, January 04, 2109</t>
  </si>
  <si>
    <t>Wednesday, January 04, 2110</t>
  </si>
  <si>
    <t>Wednesday, January 04, 2111</t>
  </si>
  <si>
    <t>Wednesday, January 04, 2112</t>
  </si>
  <si>
    <t>Wednesday, January 04, 2113</t>
  </si>
  <si>
    <t>Wednesday, January 04, 2114</t>
  </si>
  <si>
    <t>Wednesday, January 04, 2115</t>
  </si>
  <si>
    <t>Wednesday, January 04, 2116</t>
  </si>
  <si>
    <t>Wednesday, January 04, 2117</t>
  </si>
  <si>
    <t>Wednesday, January 04, 2118</t>
  </si>
  <si>
    <t>Wednesday, January 04, 2119</t>
  </si>
  <si>
    <t>Wednesday, January 04, 2120</t>
  </si>
  <si>
    <t>Wednesday, January 04, 2121</t>
  </si>
  <si>
    <t>Wednesday, January 04, 2122</t>
  </si>
  <si>
    <t>Wednesday, January 04, 2123</t>
  </si>
  <si>
    <t>Wednesday, January 04, 2124</t>
  </si>
  <si>
    <t>Wednesday, January 04, 2125</t>
  </si>
  <si>
    <t>Wednesday, January 04, 2126</t>
  </si>
  <si>
    <t>Wednesday, January 04, 2127</t>
  </si>
  <si>
    <t>Wednesday, January 04, 2128</t>
  </si>
  <si>
    <t>Wednesday, January 04, 2129</t>
  </si>
  <si>
    <t>Wednesday, January 04, 2130</t>
  </si>
  <si>
    <t>Wednesday, January 04, 2131</t>
  </si>
  <si>
    <t>Wednesday, January 04, 2132</t>
  </si>
  <si>
    <t>Wednesday, January 04, 2133</t>
  </si>
  <si>
    <t>Wednesday, January 04, 2134</t>
  </si>
  <si>
    <t>Wednesday, January 04, 2135</t>
  </si>
  <si>
    <t>Wednesday, January 04, 2136</t>
  </si>
  <si>
    <t>Wednesday, January 04, 2137</t>
  </si>
  <si>
    <t>Wednesday, January 04, 2138</t>
  </si>
  <si>
    <t>Wednesday, January 04, 2139</t>
  </si>
  <si>
    <t>Wednesday, January 04, 2140</t>
  </si>
  <si>
    <t>Wednesday, January 04, 2141</t>
  </si>
  <si>
    <t>Wednesday, January 04, 2142</t>
  </si>
  <si>
    <t>Wednesday, January 04, 2143</t>
  </si>
  <si>
    <t>Wednesday, January 04, 2144</t>
  </si>
  <si>
    <t>Wednesday, January 04, 2145</t>
  </si>
  <si>
    <t>Wednesday, January 04, 2146</t>
  </si>
  <si>
    <t>Wednesday, January 04, 2147</t>
  </si>
  <si>
    <t>Wednesday, January 04, 2148</t>
  </si>
  <si>
    <t>Wednesday, January 04, 2149</t>
  </si>
  <si>
    <t>Wednesday, January 04, 2150</t>
  </si>
  <si>
    <t>Wednesday, January 04, 2151</t>
  </si>
  <si>
    <t>Wednesday, January 04, 2152</t>
  </si>
  <si>
    <t>Wednesday, January 04, 2153</t>
  </si>
  <si>
    <t>Wednesday, January 04, 2154</t>
  </si>
  <si>
    <t>Wednesday, January 04, 2155</t>
  </si>
  <si>
    <t>Wednesday, January 04, 2156</t>
  </si>
  <si>
    <t>Wednesday, January 04, 2157</t>
  </si>
  <si>
    <t>Wednesday, January 04, 2158</t>
  </si>
  <si>
    <t>Wednesday, January 04, 2159</t>
  </si>
  <si>
    <t>Wednesday, January 04, 2160</t>
  </si>
  <si>
    <t>Wednesday, January 04, 2161</t>
  </si>
  <si>
    <t>Wednesday, January 04, 2162</t>
  </si>
  <si>
    <t>Wednesday, January 04, 2163</t>
  </si>
  <si>
    <t>Wednesday, January 04, 2164</t>
  </si>
  <si>
    <t>Wednesday, January 04, 2165</t>
  </si>
  <si>
    <t>Wednesday, January 04, 2166</t>
  </si>
  <si>
    <t>Wednesday, January 04, 2167</t>
  </si>
  <si>
    <t>Wednesday, January 04, 2168</t>
  </si>
  <si>
    <t>Wednesday, January 04, 2169</t>
  </si>
  <si>
    <t>Wednesday, January 04, 2170</t>
  </si>
  <si>
    <t>Wednesday, January 04, 2171</t>
  </si>
  <si>
    <t>Wednesday, January 04, 2172</t>
  </si>
  <si>
    <t>Wednesday, January 04, 2173</t>
  </si>
  <si>
    <t>Wednesday, January 04, 2174</t>
  </si>
  <si>
    <t>Wednesday, January 04, 2175</t>
  </si>
  <si>
    <t>Wednesday, January 04, 2176</t>
  </si>
  <si>
    <t>Wednesday, January 04, 2177</t>
  </si>
  <si>
    <t>Wednesday, January 04, 2178</t>
  </si>
  <si>
    <t>Wednesday, January 04, 2179</t>
  </si>
  <si>
    <t>Wednesday, January 04, 2180</t>
  </si>
  <si>
    <t>Wednesday, January 04, 2181</t>
  </si>
  <si>
    <t>Wednesday, January 04, 2182</t>
  </si>
  <si>
    <t>Wednesday, January 04, 2183</t>
  </si>
  <si>
    <t>Wednesday, January 04, 2184</t>
  </si>
  <si>
    <t>Wednesday, January 04, 2185</t>
  </si>
  <si>
    <t>Wednesday, January 04, 2186</t>
  </si>
  <si>
    <t>Wednesday, January 04, 2187</t>
  </si>
  <si>
    <t>Wednesday, January 04, 2188</t>
  </si>
  <si>
    <t>Wednesday, January 04, 2189</t>
  </si>
  <si>
    <t>Wednesday, January 04, 2190</t>
  </si>
  <si>
    <t>Wednesday, January 04, 2191</t>
  </si>
  <si>
    <t>Wednesday, January 04, 2192</t>
  </si>
  <si>
    <t>Wednesday, January 04, 2193</t>
  </si>
  <si>
    <t>Wednesday, January 04, 2194</t>
  </si>
  <si>
    <t>Wednesday, January 04, 2195</t>
  </si>
  <si>
    <t>Wednesday, January 04, 2196</t>
  </si>
  <si>
    <t>Wednesday, January 04, 2197</t>
  </si>
  <si>
    <t>Wednesday, January 04, 2198</t>
  </si>
  <si>
    <t>Wednesday, January 04, 2199</t>
  </si>
  <si>
    <t>Wednesday, January 04, 2200</t>
  </si>
  <si>
    <t>Wednesday, January 04, 2201</t>
  </si>
  <si>
    <t>Wednesday, January 04, 2202</t>
  </si>
  <si>
    <t>Wednesday, January 04, 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</si>
</sst>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/>
    <xf numFmtId="165" fontId="0" fillId="0" borderId="0" xfId="0" applyNumberForma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11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11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dc.nal.usda.gov/food-details/2259794/nutrients" TargetMode="External"/><Relationship Id="rId1" Type="http://schemas.openxmlformats.org/officeDocument/2006/relationships/hyperlink" Target="https://fdc.nal.usda.gov/food-details/170884/nutri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9"/>
  <sheetViews>
    <sheetView tabSelected="1" workbookViewId="0">
      <selection activeCell="L4" sqref="L4"/>
    </sheetView>
  </sheetViews>
  <sheetFormatPr defaultRowHeight="14.4" x14ac:dyDescent="0.3"/>
  <cols>
    <col min="1" max="1" width="8.88671875" style="3"/>
    <col min="2" max="2" width="8.88671875" style="3" customWidth="1"/>
    <col min="3" max="3" width="35" style="3" customWidth="1"/>
    <col min="4" max="10" width="8.88671875" style="3"/>
    <col min="11" max="11" width="28.21875" style="3" customWidth="1"/>
    <col min="12" max="12" width="11.5546875" style="3" customWidth="1"/>
    <col min="13" max="16384" width="8.88671875" style="3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1</v>
      </c>
      <c r="B2" s="3" t="s">
        <v>13</v>
      </c>
      <c r="C2" s="3" t="s">
        <v>14</v>
      </c>
      <c r="D2" s="3">
        <v>40</v>
      </c>
      <c r="E2" s="3">
        <v>40</v>
      </c>
      <c r="F2" s="3">
        <v>40</v>
      </c>
      <c r="G2" s="3" t="s">
        <v>15</v>
      </c>
      <c r="H2" s="3" t="s">
        <v>16</v>
      </c>
      <c r="I2" s="3" t="s">
        <v>17</v>
      </c>
      <c r="J2" s="4">
        <v>45863</v>
      </c>
      <c r="K2" s="3" t="s">
        <v>18</v>
      </c>
      <c r="L2" s="3">
        <f>SUM(Sheet2!A2-F2)</f>
        <v>0</v>
      </c>
      <c r="M2" s="3" t="s">
        <v>697</v>
      </c>
    </row>
    <row r="3" spans="1:13" x14ac:dyDescent="0.3">
      <c r="A3" s="3">
        <v>2</v>
      </c>
      <c r="B3" s="3" t="s">
        <v>13</v>
      </c>
      <c r="C3" s="3" t="s">
        <v>19</v>
      </c>
      <c r="D3" s="3">
        <v>119</v>
      </c>
      <c r="E3" s="3">
        <v>126</v>
      </c>
      <c r="F3" s="3">
        <v>124</v>
      </c>
      <c r="G3" s="3" t="s">
        <v>15</v>
      </c>
      <c r="H3" s="3" t="s">
        <v>16</v>
      </c>
      <c r="I3" s="3" t="s">
        <v>17</v>
      </c>
      <c r="J3" s="4">
        <v>45863</v>
      </c>
      <c r="K3" s="3" t="s">
        <v>18</v>
      </c>
      <c r="L3" s="3">
        <f>SUM(Sheet2!A3-F3)</f>
        <v>0</v>
      </c>
      <c r="M3" s="3" t="s">
        <v>698</v>
      </c>
    </row>
    <row r="4" spans="1:13" x14ac:dyDescent="0.3">
      <c r="A4" s="3">
        <v>3</v>
      </c>
      <c r="B4" s="3" t="s">
        <v>20</v>
      </c>
      <c r="C4" s="3" t="s">
        <v>21</v>
      </c>
      <c r="D4" s="3">
        <v>120</v>
      </c>
      <c r="E4" s="3">
        <v>126</v>
      </c>
      <c r="F4" s="3">
        <v>124</v>
      </c>
      <c r="G4" s="3" t="s">
        <v>15</v>
      </c>
      <c r="H4" s="3" t="s">
        <v>16</v>
      </c>
      <c r="I4" s="3" t="s">
        <v>22</v>
      </c>
      <c r="J4" s="4">
        <v>45863</v>
      </c>
      <c r="K4" s="3" t="s">
        <v>23</v>
      </c>
      <c r="L4" s="3" t="e">
        <f>SUM([1]L11Sheet2!A4-F4)</f>
        <v>#REF!</v>
      </c>
      <c r="M4" s="3" t="s">
        <v>699</v>
      </c>
    </row>
    <row r="5" spans="1:13" x14ac:dyDescent="0.3">
      <c r="A5" s="3">
        <v>4</v>
      </c>
      <c r="B5" s="3" t="s">
        <v>24</v>
      </c>
      <c r="C5" s="3" t="s">
        <v>25</v>
      </c>
      <c r="D5" s="3">
        <v>64</v>
      </c>
      <c r="E5" s="3">
        <v>64</v>
      </c>
      <c r="F5" s="3">
        <v>64</v>
      </c>
      <c r="G5" s="3" t="s">
        <v>15</v>
      </c>
      <c r="H5" s="3" t="s">
        <v>16</v>
      </c>
      <c r="I5" s="3" t="s">
        <v>26</v>
      </c>
      <c r="J5" s="4">
        <v>45863</v>
      </c>
      <c r="K5" s="3" t="s">
        <v>24</v>
      </c>
      <c r="L5" s="3">
        <f>SUM(Sheet2!A5-F5)</f>
        <v>0</v>
      </c>
      <c r="M5" s="3" t="s">
        <v>700</v>
      </c>
    </row>
    <row r="6" spans="1:13" x14ac:dyDescent="0.3">
      <c r="A6" s="3">
        <v>5</v>
      </c>
      <c r="B6" s="3" t="s">
        <v>27</v>
      </c>
      <c r="C6" s="3" t="s">
        <v>28</v>
      </c>
      <c r="D6" s="3">
        <v>85</v>
      </c>
      <c r="E6" s="3">
        <v>83</v>
      </c>
      <c r="F6" s="3">
        <v>94</v>
      </c>
      <c r="G6" s="3" t="s">
        <v>15</v>
      </c>
      <c r="H6" s="3" t="s">
        <v>29</v>
      </c>
      <c r="I6" s="3" t="s">
        <v>30</v>
      </c>
      <c r="J6" s="4">
        <v>45863</v>
      </c>
      <c r="K6" s="3" t="s">
        <v>31</v>
      </c>
      <c r="L6" s="3">
        <f>SUM(Sheet2!A6-F6)</f>
        <v>0</v>
      </c>
      <c r="M6" s="3" t="s">
        <v>701</v>
      </c>
    </row>
    <row r="7" spans="1:13" x14ac:dyDescent="0.3">
      <c r="A7" s="3">
        <v>6</v>
      </c>
      <c r="B7" s="3" t="s">
        <v>32</v>
      </c>
      <c r="C7" s="3" t="s">
        <v>33</v>
      </c>
      <c r="D7" s="3">
        <v>95</v>
      </c>
      <c r="E7" s="3">
        <v>89</v>
      </c>
      <c r="F7" s="3">
        <v>99</v>
      </c>
      <c r="G7" s="3" t="s">
        <v>15</v>
      </c>
      <c r="H7" s="3" t="s">
        <v>29</v>
      </c>
      <c r="I7" s="3" t="s">
        <v>34</v>
      </c>
      <c r="J7" s="4">
        <v>45863</v>
      </c>
      <c r="K7" s="3" t="s">
        <v>31</v>
      </c>
      <c r="L7" s="3">
        <f>SUM(Sheet2!A7-F7)</f>
        <v>0</v>
      </c>
      <c r="M7" s="3" t="s">
        <v>702</v>
      </c>
    </row>
    <row r="8" spans="1:13" x14ac:dyDescent="0.3">
      <c r="A8" s="3">
        <v>7</v>
      </c>
      <c r="B8" s="3" t="s">
        <v>35</v>
      </c>
      <c r="C8" s="3" t="s">
        <v>36</v>
      </c>
      <c r="D8" s="3">
        <v>45</v>
      </c>
      <c r="E8" s="3">
        <v>46</v>
      </c>
      <c r="F8" s="3">
        <v>49</v>
      </c>
      <c r="G8" s="3" t="s">
        <v>15</v>
      </c>
      <c r="H8" s="3" t="s">
        <v>29</v>
      </c>
      <c r="I8" s="3" t="s">
        <v>37</v>
      </c>
      <c r="J8" s="4">
        <v>45863</v>
      </c>
      <c r="K8" s="3" t="s">
        <v>38</v>
      </c>
      <c r="L8" s="3">
        <f>SUM(Sheet2!A8-F8)</f>
        <v>0</v>
      </c>
      <c r="M8" s="3" t="s">
        <v>703</v>
      </c>
    </row>
    <row r="9" spans="1:13" x14ac:dyDescent="0.3">
      <c r="A9" s="3">
        <v>8</v>
      </c>
      <c r="B9" s="3" t="s">
        <v>39</v>
      </c>
      <c r="C9" s="3" t="s">
        <v>40</v>
      </c>
      <c r="D9" s="3">
        <v>89</v>
      </c>
      <c r="E9" s="3">
        <v>89</v>
      </c>
      <c r="F9" s="3">
        <v>89</v>
      </c>
      <c r="G9" s="3" t="s">
        <v>15</v>
      </c>
      <c r="H9" s="3" t="s">
        <v>16</v>
      </c>
      <c r="I9" s="3" t="s">
        <v>41</v>
      </c>
      <c r="J9" s="4">
        <v>45863</v>
      </c>
      <c r="K9" s="3" t="s">
        <v>42</v>
      </c>
      <c r="L9" s="3">
        <f>SUM(Sheet2!A9-F9)</f>
        <v>0</v>
      </c>
      <c r="M9" s="3" t="s">
        <v>704</v>
      </c>
    </row>
    <row r="10" spans="1:13" x14ac:dyDescent="0.3">
      <c r="A10" s="3">
        <v>9</v>
      </c>
      <c r="B10" s="3" t="s">
        <v>43</v>
      </c>
      <c r="C10" s="3" t="s">
        <v>44</v>
      </c>
      <c r="D10" s="3">
        <v>104</v>
      </c>
      <c r="E10" s="3">
        <v>104</v>
      </c>
      <c r="F10" s="3">
        <v>120</v>
      </c>
      <c r="G10" s="3" t="s">
        <v>15</v>
      </c>
      <c r="H10" s="3" t="s">
        <v>29</v>
      </c>
      <c r="I10" s="3" t="s">
        <v>45</v>
      </c>
      <c r="J10" s="4">
        <v>45863</v>
      </c>
      <c r="K10" s="3" t="s">
        <v>46</v>
      </c>
      <c r="L10" s="3">
        <f>SUM(Sheet2!A10-F10)</f>
        <v>0</v>
      </c>
      <c r="M10" s="3" t="s">
        <v>705</v>
      </c>
    </row>
    <row r="11" spans="1:13" x14ac:dyDescent="0.3">
      <c r="A11" s="3">
        <v>10</v>
      </c>
      <c r="B11" s="3" t="s">
        <v>47</v>
      </c>
      <c r="C11" s="3" t="s">
        <v>48</v>
      </c>
      <c r="D11" s="3">
        <v>105</v>
      </c>
      <c r="E11" s="3">
        <v>104</v>
      </c>
      <c r="F11" s="3">
        <v>129</v>
      </c>
      <c r="G11" s="3" t="s">
        <v>15</v>
      </c>
      <c r="H11" s="3" t="s">
        <v>29</v>
      </c>
      <c r="I11" s="3" t="s">
        <v>49</v>
      </c>
      <c r="J11" s="4">
        <v>45863</v>
      </c>
      <c r="K11" s="3" t="s">
        <v>50</v>
      </c>
      <c r="L11" s="3">
        <f>SUM(Sheet2!A11-F11)</f>
        <v>0</v>
      </c>
      <c r="M11" s="3" t="s">
        <v>706</v>
      </c>
    </row>
    <row r="12" spans="1:13" x14ac:dyDescent="0.3">
      <c r="A12" s="3">
        <v>11</v>
      </c>
      <c r="B12" s="3" t="s">
        <v>51</v>
      </c>
      <c r="C12" s="3" t="s">
        <v>52</v>
      </c>
      <c r="D12" s="3">
        <v>46</v>
      </c>
      <c r="E12" s="3">
        <v>51</v>
      </c>
      <c r="F12" s="3">
        <v>57</v>
      </c>
      <c r="G12" s="3" t="s">
        <v>15</v>
      </c>
      <c r="H12" s="3" t="s">
        <v>29</v>
      </c>
      <c r="I12" s="3" t="s">
        <v>53</v>
      </c>
      <c r="J12" s="4">
        <v>45863</v>
      </c>
      <c r="K12" s="3" t="s">
        <v>54</v>
      </c>
      <c r="L12" s="3">
        <f>SUM(Sheet2!A12-F12)</f>
        <v>0</v>
      </c>
      <c r="M12" s="3" t="s">
        <v>707</v>
      </c>
    </row>
    <row r="13" spans="1:13" x14ac:dyDescent="0.3">
      <c r="A13" s="3">
        <v>12</v>
      </c>
      <c r="B13" s="3" t="s">
        <v>55</v>
      </c>
      <c r="C13" s="3" t="s">
        <v>56</v>
      </c>
      <c r="D13" s="3">
        <v>46</v>
      </c>
      <c r="E13" s="3">
        <v>45</v>
      </c>
      <c r="F13" s="3">
        <v>45</v>
      </c>
      <c r="G13" s="3" t="s">
        <v>15</v>
      </c>
      <c r="H13" s="3" t="s">
        <v>16</v>
      </c>
      <c r="I13" s="3" t="s">
        <v>57</v>
      </c>
      <c r="J13" s="4">
        <v>45863</v>
      </c>
      <c r="K13" s="3" t="s">
        <v>58</v>
      </c>
      <c r="L13" s="3">
        <f>SUM(Sheet2!A13-F13)</f>
        <v>0</v>
      </c>
      <c r="M13" s="3" t="s">
        <v>708</v>
      </c>
    </row>
    <row r="14" spans="1:13" x14ac:dyDescent="0.3">
      <c r="A14" s="3">
        <v>13</v>
      </c>
      <c r="B14" s="3" t="s">
        <v>59</v>
      </c>
      <c r="C14" s="3" t="s">
        <v>60</v>
      </c>
      <c r="D14" s="3">
        <v>60</v>
      </c>
      <c r="E14" s="3">
        <v>60</v>
      </c>
      <c r="F14" s="3">
        <v>68</v>
      </c>
      <c r="G14" s="3" t="s">
        <v>15</v>
      </c>
      <c r="H14" s="3" t="s">
        <v>29</v>
      </c>
      <c r="I14" s="3" t="s">
        <v>61</v>
      </c>
      <c r="J14" s="4">
        <v>45863</v>
      </c>
      <c r="K14" s="3" t="s">
        <v>62</v>
      </c>
      <c r="L14" s="3">
        <f>SUM(Sheet2!A14-F14)</f>
        <v>0</v>
      </c>
      <c r="M14" s="3" t="s">
        <v>709</v>
      </c>
    </row>
    <row r="15" spans="1:13" x14ac:dyDescent="0.3">
      <c r="A15" s="3">
        <v>14</v>
      </c>
      <c r="B15" s="3" t="s">
        <v>63</v>
      </c>
      <c r="C15" s="3" t="s">
        <v>64</v>
      </c>
      <c r="D15" s="3">
        <v>59</v>
      </c>
      <c r="E15" s="3">
        <v>59</v>
      </c>
      <c r="F15" s="3">
        <v>69</v>
      </c>
      <c r="G15" s="3" t="s">
        <v>15</v>
      </c>
      <c r="H15" s="3" t="s">
        <v>29</v>
      </c>
      <c r="I15" s="3" t="s">
        <v>65</v>
      </c>
      <c r="J15" s="4">
        <v>45863</v>
      </c>
      <c r="K15" s="3" t="s">
        <v>66</v>
      </c>
      <c r="L15" s="3">
        <f>SUM(Sheet2!A15-F15)</f>
        <v>0</v>
      </c>
      <c r="M15" s="3" t="s">
        <v>710</v>
      </c>
    </row>
    <row r="16" spans="1:13" x14ac:dyDescent="0.3">
      <c r="A16" s="3">
        <v>15</v>
      </c>
      <c r="B16" s="3" t="s">
        <v>67</v>
      </c>
      <c r="C16" s="3" t="s">
        <v>68</v>
      </c>
      <c r="D16" s="3">
        <v>17</v>
      </c>
      <c r="E16" s="3">
        <v>17</v>
      </c>
      <c r="F16" s="3">
        <v>17</v>
      </c>
      <c r="G16" s="3" t="s">
        <v>15</v>
      </c>
      <c r="H16" s="3" t="s">
        <v>29</v>
      </c>
      <c r="I16" s="3" t="s">
        <v>69</v>
      </c>
      <c r="J16" s="4">
        <v>45863</v>
      </c>
      <c r="K16" s="3" t="s">
        <v>70</v>
      </c>
      <c r="L16" s="3">
        <f>SUM(Sheet2!A16-F16)</f>
        <v>0</v>
      </c>
      <c r="M16" s="3" t="s">
        <v>711</v>
      </c>
    </row>
    <row r="17" spans="1:13" x14ac:dyDescent="0.3">
      <c r="A17" s="3">
        <v>16</v>
      </c>
      <c r="B17" s="3" t="s">
        <v>71</v>
      </c>
      <c r="C17" s="3" t="s">
        <v>72</v>
      </c>
      <c r="D17" s="3">
        <v>102</v>
      </c>
      <c r="E17" s="3">
        <v>103</v>
      </c>
      <c r="F17" s="3">
        <v>115</v>
      </c>
      <c r="G17" s="3" t="s">
        <v>15</v>
      </c>
      <c r="H17" s="3" t="s">
        <v>29</v>
      </c>
      <c r="I17" s="3" t="s">
        <v>73</v>
      </c>
      <c r="J17" s="4">
        <v>45863</v>
      </c>
      <c r="K17" s="3" t="s">
        <v>74</v>
      </c>
      <c r="L17" s="3">
        <f>SUM(Sheet2!A17-F17)</f>
        <v>0</v>
      </c>
      <c r="M17" s="3" t="s">
        <v>712</v>
      </c>
    </row>
    <row r="18" spans="1:13" x14ac:dyDescent="0.3">
      <c r="A18" s="3">
        <v>17</v>
      </c>
      <c r="B18" s="3" t="s">
        <v>75</v>
      </c>
      <c r="C18" s="3" t="s">
        <v>76</v>
      </c>
      <c r="D18" s="3">
        <v>41</v>
      </c>
      <c r="E18" s="3">
        <v>40</v>
      </c>
      <c r="F18" s="3">
        <v>48</v>
      </c>
      <c r="G18" s="3" t="s">
        <v>15</v>
      </c>
      <c r="H18" s="3" t="s">
        <v>29</v>
      </c>
      <c r="I18" s="3" t="s">
        <v>77</v>
      </c>
      <c r="J18" s="4">
        <v>45863</v>
      </c>
      <c r="K18" s="3" t="s">
        <v>78</v>
      </c>
      <c r="L18" s="3">
        <f>SUM(Sheet2!A18-F18)</f>
        <v>0</v>
      </c>
      <c r="M18" s="3" t="s">
        <v>713</v>
      </c>
    </row>
    <row r="19" spans="1:13" x14ac:dyDescent="0.3">
      <c r="A19" s="3">
        <v>18</v>
      </c>
      <c r="B19" s="3" t="s">
        <v>79</v>
      </c>
      <c r="C19" s="3" t="s">
        <v>80</v>
      </c>
      <c r="D19" s="3">
        <v>112</v>
      </c>
      <c r="E19" s="3">
        <v>112</v>
      </c>
      <c r="F19" s="3">
        <v>112</v>
      </c>
      <c r="G19" s="3" t="s">
        <v>15</v>
      </c>
      <c r="H19" s="3" t="s">
        <v>16</v>
      </c>
      <c r="I19" s="3" t="s">
        <v>81</v>
      </c>
      <c r="J19" s="4">
        <v>45863</v>
      </c>
      <c r="K19" s="3" t="s">
        <v>82</v>
      </c>
      <c r="L19" s="3">
        <f>SUM(Sheet2!A19-F19)</f>
        <v>0</v>
      </c>
      <c r="M19" s="3" t="s">
        <v>714</v>
      </c>
    </row>
    <row r="20" spans="1:13" x14ac:dyDescent="0.3">
      <c r="A20" s="3">
        <v>19</v>
      </c>
      <c r="B20" s="3" t="s">
        <v>83</v>
      </c>
      <c r="C20" s="3" t="s">
        <v>84</v>
      </c>
      <c r="D20" s="3">
        <v>30</v>
      </c>
      <c r="E20" s="3">
        <v>30</v>
      </c>
      <c r="F20" s="3">
        <v>38</v>
      </c>
      <c r="G20" s="3" t="s">
        <v>15</v>
      </c>
      <c r="H20" s="3" t="s">
        <v>29</v>
      </c>
      <c r="I20" s="3" t="s">
        <v>85</v>
      </c>
      <c r="J20" s="4">
        <v>45863</v>
      </c>
      <c r="K20" s="3" t="s">
        <v>86</v>
      </c>
      <c r="L20" s="3">
        <f>SUM(Sheet2!A20-F20)</f>
        <v>0</v>
      </c>
      <c r="M20" s="3" t="s">
        <v>715</v>
      </c>
    </row>
    <row r="21" spans="1:13" x14ac:dyDescent="0.3">
      <c r="A21" s="3">
        <v>20</v>
      </c>
      <c r="B21" s="3" t="s">
        <v>87</v>
      </c>
      <c r="C21" s="3" t="s">
        <v>88</v>
      </c>
      <c r="D21" s="3">
        <v>43</v>
      </c>
      <c r="E21" s="3">
        <v>43</v>
      </c>
      <c r="F21" s="3">
        <v>48</v>
      </c>
      <c r="G21" s="3" t="s">
        <v>15</v>
      </c>
      <c r="H21" s="3" t="s">
        <v>29</v>
      </c>
      <c r="I21" s="3" t="s">
        <v>89</v>
      </c>
      <c r="J21" s="4">
        <v>45863</v>
      </c>
      <c r="K21" s="3" t="s">
        <v>90</v>
      </c>
      <c r="L21" s="3">
        <f>SUM(Sheet2!A21-F21)</f>
        <v>0</v>
      </c>
      <c r="M21" s="3" t="s">
        <v>716</v>
      </c>
    </row>
    <row r="22" spans="1:13" x14ac:dyDescent="0.3">
      <c r="A22" s="3">
        <v>21</v>
      </c>
      <c r="B22" s="3" t="s">
        <v>91</v>
      </c>
      <c r="C22" s="3" t="s">
        <v>92</v>
      </c>
      <c r="D22" s="3">
        <v>38</v>
      </c>
      <c r="E22" s="3">
        <v>40</v>
      </c>
      <c r="F22" s="3">
        <v>43</v>
      </c>
      <c r="G22" s="3" t="s">
        <v>15</v>
      </c>
      <c r="H22" s="3" t="s">
        <v>29</v>
      </c>
      <c r="I22" s="3" t="s">
        <v>93</v>
      </c>
      <c r="J22" s="4">
        <v>45863</v>
      </c>
      <c r="K22" s="3" t="s">
        <v>94</v>
      </c>
      <c r="L22" s="3">
        <f>SUM(Sheet2!A22-F22)</f>
        <v>0</v>
      </c>
      <c r="M22" s="3" t="s">
        <v>717</v>
      </c>
    </row>
    <row r="23" spans="1:13" x14ac:dyDescent="0.3">
      <c r="A23" s="3">
        <v>22</v>
      </c>
      <c r="B23" s="3" t="s">
        <v>95</v>
      </c>
      <c r="C23" s="3" t="s">
        <v>96</v>
      </c>
      <c r="D23" s="3">
        <v>48</v>
      </c>
      <c r="E23" s="3">
        <v>38</v>
      </c>
      <c r="F23" s="3">
        <v>53</v>
      </c>
      <c r="G23" s="3" t="s">
        <v>15</v>
      </c>
      <c r="H23" s="3" t="s">
        <v>29</v>
      </c>
      <c r="I23" s="3" t="s">
        <v>97</v>
      </c>
      <c r="J23" s="4">
        <v>45863</v>
      </c>
      <c r="K23" s="3" t="s">
        <v>98</v>
      </c>
      <c r="L23" s="3">
        <f>SUM(Sheet2!A23-F23)</f>
        <v>0</v>
      </c>
      <c r="M23" s="3" t="s">
        <v>718</v>
      </c>
    </row>
    <row r="24" spans="1:13" x14ac:dyDescent="0.3">
      <c r="A24" s="3">
        <v>23</v>
      </c>
      <c r="B24" s="3" t="s">
        <v>99</v>
      </c>
      <c r="C24" s="3" t="s">
        <v>100</v>
      </c>
      <c r="D24" s="3">
        <v>48</v>
      </c>
      <c r="E24" s="3">
        <v>48</v>
      </c>
      <c r="F24" s="3">
        <v>54</v>
      </c>
      <c r="G24" s="3" t="s">
        <v>15</v>
      </c>
      <c r="H24" s="3" t="s">
        <v>29</v>
      </c>
      <c r="I24" s="3" t="s">
        <v>101</v>
      </c>
      <c r="J24" s="4">
        <v>45863</v>
      </c>
      <c r="K24" s="3" t="s">
        <v>102</v>
      </c>
      <c r="L24" s="3">
        <f>SUM(Sheet2!A24-F24)</f>
        <v>0</v>
      </c>
      <c r="M24" s="3" t="s">
        <v>719</v>
      </c>
    </row>
    <row r="25" spans="1:13" x14ac:dyDescent="0.3">
      <c r="A25" s="3">
        <v>24</v>
      </c>
      <c r="B25" s="3" t="s">
        <v>103</v>
      </c>
      <c r="C25" s="3" t="s">
        <v>104</v>
      </c>
      <c r="D25" s="3">
        <v>85</v>
      </c>
      <c r="E25" s="3">
        <v>86</v>
      </c>
      <c r="F25" s="3">
        <v>85</v>
      </c>
      <c r="G25" s="3" t="s">
        <v>15</v>
      </c>
      <c r="H25" s="3" t="s">
        <v>16</v>
      </c>
      <c r="I25" s="3" t="s">
        <v>105</v>
      </c>
      <c r="J25" s="4">
        <v>45863</v>
      </c>
      <c r="K25" s="3" t="s">
        <v>106</v>
      </c>
      <c r="L25" s="3">
        <f>SUM(Sheet2!A25-F25)</f>
        <v>0</v>
      </c>
      <c r="M25" s="3" t="s">
        <v>720</v>
      </c>
    </row>
    <row r="26" spans="1:13" x14ac:dyDescent="0.3">
      <c r="A26" s="3">
        <v>25</v>
      </c>
      <c r="B26" s="3" t="s">
        <v>107</v>
      </c>
      <c r="C26" s="3" t="s">
        <v>108</v>
      </c>
      <c r="D26" s="3">
        <v>112</v>
      </c>
      <c r="E26" s="3">
        <v>112</v>
      </c>
      <c r="F26" s="3">
        <v>113</v>
      </c>
      <c r="G26" s="3" t="s">
        <v>15</v>
      </c>
      <c r="H26" s="3" t="s">
        <v>29</v>
      </c>
      <c r="I26" s="3" t="s">
        <v>109</v>
      </c>
      <c r="J26" s="4">
        <v>45863</v>
      </c>
      <c r="K26" s="3" t="s">
        <v>110</v>
      </c>
      <c r="L26" s="3">
        <f>SUM(Sheet2!A26-F26)</f>
        <v>0</v>
      </c>
      <c r="M26" s="3" t="s">
        <v>721</v>
      </c>
    </row>
    <row r="27" spans="1:13" x14ac:dyDescent="0.3">
      <c r="A27" s="3">
        <v>26</v>
      </c>
      <c r="B27" s="3" t="s">
        <v>111</v>
      </c>
      <c r="C27" s="3" t="s">
        <v>112</v>
      </c>
      <c r="D27" s="3">
        <v>114</v>
      </c>
      <c r="E27" s="3">
        <v>114</v>
      </c>
      <c r="F27" s="3">
        <v>113</v>
      </c>
      <c r="G27" s="3" t="s">
        <v>15</v>
      </c>
      <c r="H27" s="3" t="s">
        <v>16</v>
      </c>
      <c r="I27" s="3" t="s">
        <v>113</v>
      </c>
      <c r="J27" s="4">
        <v>45863</v>
      </c>
      <c r="K27" s="3" t="s">
        <v>114</v>
      </c>
      <c r="L27" s="3">
        <f>SUM(Sheet2!A27-F27)</f>
        <v>0</v>
      </c>
      <c r="M27" s="3" t="s">
        <v>722</v>
      </c>
    </row>
    <row r="28" spans="1:13" x14ac:dyDescent="0.3">
      <c r="A28" s="3">
        <v>27</v>
      </c>
      <c r="B28" s="3" t="s">
        <v>115</v>
      </c>
      <c r="C28" s="3" t="s">
        <v>116</v>
      </c>
      <c r="D28" s="3">
        <v>132</v>
      </c>
      <c r="E28" s="3">
        <v>132</v>
      </c>
      <c r="F28" s="3">
        <v>132</v>
      </c>
      <c r="G28" s="3" t="s">
        <v>15</v>
      </c>
      <c r="H28" s="3" t="s">
        <v>16</v>
      </c>
      <c r="I28" s="3" t="s">
        <v>117</v>
      </c>
      <c r="J28" s="4">
        <v>45863</v>
      </c>
      <c r="K28" s="3" t="s">
        <v>118</v>
      </c>
      <c r="L28" s="3">
        <f>SUM(Sheet2!A28-F28)</f>
        <v>0</v>
      </c>
      <c r="M28" s="3" t="s">
        <v>723</v>
      </c>
    </row>
    <row r="29" spans="1:13" x14ac:dyDescent="0.3">
      <c r="A29" s="3">
        <v>28</v>
      </c>
      <c r="B29" s="3" t="s">
        <v>119</v>
      </c>
      <c r="C29" s="3" t="s">
        <v>120</v>
      </c>
      <c r="D29" s="3">
        <v>166</v>
      </c>
      <c r="E29" s="3">
        <v>168</v>
      </c>
      <c r="F29" s="3">
        <v>166</v>
      </c>
      <c r="G29" s="3" t="s">
        <v>15</v>
      </c>
      <c r="H29" s="3" t="s">
        <v>16</v>
      </c>
      <c r="I29" s="3" t="s">
        <v>121</v>
      </c>
      <c r="J29" s="4">
        <v>45863</v>
      </c>
      <c r="K29" s="3" t="s">
        <v>122</v>
      </c>
      <c r="L29" s="3">
        <f>SUM(Sheet2!A29-F29)</f>
        <v>0</v>
      </c>
      <c r="M29" s="3" t="s">
        <v>724</v>
      </c>
    </row>
    <row r="30" spans="1:13" x14ac:dyDescent="0.3">
      <c r="A30" s="3">
        <v>29</v>
      </c>
      <c r="B30" s="3" t="s">
        <v>123</v>
      </c>
      <c r="C30" s="3" t="s">
        <v>124</v>
      </c>
      <c r="D30" s="3">
        <v>42</v>
      </c>
      <c r="E30" s="3">
        <v>42</v>
      </c>
      <c r="F30" s="3">
        <v>42</v>
      </c>
      <c r="G30" s="3" t="s">
        <v>15</v>
      </c>
      <c r="H30" s="3" t="s">
        <v>16</v>
      </c>
      <c r="I30" s="3" t="s">
        <v>125</v>
      </c>
      <c r="J30" s="4">
        <v>45863</v>
      </c>
      <c r="K30" s="3" t="s">
        <v>126</v>
      </c>
      <c r="L30" s="3">
        <f>SUM(Sheet2!A30-F30)</f>
        <v>-1</v>
      </c>
      <c r="M30" s="3" t="s">
        <v>725</v>
      </c>
    </row>
    <row r="31" spans="1:13" x14ac:dyDescent="0.3">
      <c r="A31" s="3">
        <v>30</v>
      </c>
      <c r="B31" s="3" t="s">
        <v>127</v>
      </c>
      <c r="C31" s="3" t="s">
        <v>128</v>
      </c>
      <c r="D31" s="3">
        <v>43</v>
      </c>
      <c r="E31" s="3">
        <v>42</v>
      </c>
      <c r="F31" s="3">
        <v>42</v>
      </c>
      <c r="G31" s="3" t="s">
        <v>15</v>
      </c>
      <c r="H31" s="3" t="s">
        <v>16</v>
      </c>
      <c r="I31" s="3" t="s">
        <v>129</v>
      </c>
      <c r="J31" s="4">
        <v>45863</v>
      </c>
      <c r="K31" s="3" t="s">
        <v>126</v>
      </c>
      <c r="L31" s="3">
        <f>SUM(Sheet2!A31-F31)</f>
        <v>-1</v>
      </c>
      <c r="M31" s="3" t="s">
        <v>726</v>
      </c>
    </row>
    <row r="32" spans="1:13" x14ac:dyDescent="0.3">
      <c r="A32" s="3">
        <v>31</v>
      </c>
      <c r="B32" s="3" t="s">
        <v>130</v>
      </c>
      <c r="C32" s="3" t="s">
        <v>131</v>
      </c>
      <c r="D32" s="3">
        <v>157</v>
      </c>
      <c r="E32" s="3">
        <v>157</v>
      </c>
      <c r="F32" s="3">
        <v>157</v>
      </c>
      <c r="G32" s="3" t="s">
        <v>15</v>
      </c>
      <c r="H32" s="3" t="s">
        <v>16</v>
      </c>
      <c r="I32" s="3" t="s">
        <v>132</v>
      </c>
      <c r="J32" s="4">
        <v>45863</v>
      </c>
      <c r="K32" s="3" t="s">
        <v>133</v>
      </c>
      <c r="L32" s="3">
        <f>SUM(Sheet2!A32-F32)</f>
        <v>0</v>
      </c>
      <c r="M32" s="3" t="s">
        <v>727</v>
      </c>
    </row>
    <row r="33" spans="1:13" x14ac:dyDescent="0.3">
      <c r="A33" s="3">
        <v>32</v>
      </c>
      <c r="B33" s="3" t="s">
        <v>134</v>
      </c>
      <c r="C33" s="3" t="s">
        <v>135</v>
      </c>
      <c r="D33" s="3">
        <v>188</v>
      </c>
      <c r="E33" s="3">
        <v>178</v>
      </c>
      <c r="F33" s="3">
        <v>194</v>
      </c>
      <c r="G33" s="3" t="s">
        <v>15</v>
      </c>
      <c r="H33" s="3" t="s">
        <v>29</v>
      </c>
      <c r="I33" s="3" t="s">
        <v>136</v>
      </c>
      <c r="J33" s="4">
        <v>45863</v>
      </c>
      <c r="K33" s="3" t="s">
        <v>137</v>
      </c>
      <c r="L33" s="3">
        <f>SUM(Sheet2!A33-F33)</f>
        <v>0</v>
      </c>
      <c r="M33" s="3" t="s">
        <v>728</v>
      </c>
    </row>
    <row r="34" spans="1:13" x14ac:dyDescent="0.3">
      <c r="A34" s="3">
        <v>33</v>
      </c>
      <c r="B34" s="3" t="s">
        <v>138</v>
      </c>
      <c r="C34" s="3" t="s">
        <v>139</v>
      </c>
      <c r="D34" s="3">
        <v>130</v>
      </c>
      <c r="E34" s="3">
        <v>130</v>
      </c>
      <c r="F34" s="3">
        <v>133</v>
      </c>
      <c r="G34" s="3" t="s">
        <v>15</v>
      </c>
      <c r="H34" s="3" t="s">
        <v>16</v>
      </c>
      <c r="I34" s="3" t="s">
        <v>140</v>
      </c>
      <c r="J34" s="4">
        <v>45863</v>
      </c>
      <c r="K34" s="3" t="s">
        <v>98</v>
      </c>
      <c r="L34" s="3">
        <f>SUM(Sheet2!A34-F34)</f>
        <v>0</v>
      </c>
      <c r="M34" s="3" t="s">
        <v>729</v>
      </c>
    </row>
    <row r="35" spans="1:13" x14ac:dyDescent="0.3">
      <c r="A35" s="3">
        <v>34</v>
      </c>
      <c r="B35" s="3" t="s">
        <v>141</v>
      </c>
      <c r="C35" s="3" t="s">
        <v>142</v>
      </c>
      <c r="D35" s="3">
        <v>93</v>
      </c>
      <c r="E35" s="3">
        <v>91</v>
      </c>
      <c r="F35" s="3">
        <v>102</v>
      </c>
      <c r="G35" s="3" t="s">
        <v>15</v>
      </c>
      <c r="H35" s="3" t="s">
        <v>29</v>
      </c>
      <c r="I35" s="3" t="s">
        <v>143</v>
      </c>
      <c r="J35" s="4">
        <v>45863</v>
      </c>
      <c r="K35" s="3" t="s">
        <v>144</v>
      </c>
      <c r="L35" s="3">
        <f>SUM(Sheet2!A35-F35)</f>
        <v>0</v>
      </c>
      <c r="M35" s="3" t="s">
        <v>730</v>
      </c>
    </row>
    <row r="36" spans="1:13" x14ac:dyDescent="0.3">
      <c r="A36" s="3">
        <v>35</v>
      </c>
      <c r="B36" s="3" t="s">
        <v>145</v>
      </c>
      <c r="C36" s="3" t="s">
        <v>146</v>
      </c>
      <c r="D36" s="3">
        <v>169</v>
      </c>
      <c r="E36" s="3">
        <v>159</v>
      </c>
      <c r="F36" s="3">
        <v>167</v>
      </c>
      <c r="G36" s="3" t="s">
        <v>15</v>
      </c>
      <c r="H36" s="3" t="s">
        <v>29</v>
      </c>
      <c r="I36" s="3" t="s">
        <v>147</v>
      </c>
      <c r="J36" s="4">
        <v>45863</v>
      </c>
      <c r="K36" s="3" t="s">
        <v>148</v>
      </c>
      <c r="L36" s="3">
        <f>SUM(Sheet2!A36-F36)</f>
        <v>0</v>
      </c>
      <c r="M36" s="3" t="s">
        <v>731</v>
      </c>
    </row>
    <row r="37" spans="1:13" x14ac:dyDescent="0.3">
      <c r="A37" s="3">
        <v>36</v>
      </c>
      <c r="B37" s="3" t="s">
        <v>149</v>
      </c>
      <c r="C37" s="3" t="s">
        <v>150</v>
      </c>
      <c r="D37" s="3">
        <v>122</v>
      </c>
      <c r="E37" s="3">
        <v>122</v>
      </c>
      <c r="F37" s="3">
        <v>131</v>
      </c>
      <c r="G37" s="3" t="s">
        <v>15</v>
      </c>
      <c r="H37" s="3" t="s">
        <v>29</v>
      </c>
      <c r="I37" s="3" t="s">
        <v>151</v>
      </c>
      <c r="J37" s="4">
        <v>45863</v>
      </c>
      <c r="K37" s="3" t="s">
        <v>152</v>
      </c>
      <c r="L37" s="3">
        <f>SUM(Sheet2!A37-F37)</f>
        <v>0</v>
      </c>
      <c r="M37" s="3" t="s">
        <v>732</v>
      </c>
    </row>
    <row r="38" spans="1:13" x14ac:dyDescent="0.3">
      <c r="A38" s="3">
        <v>37</v>
      </c>
      <c r="B38" s="3" t="s">
        <v>153</v>
      </c>
      <c r="C38" s="3" t="s">
        <v>154</v>
      </c>
      <c r="D38" s="3">
        <v>161</v>
      </c>
      <c r="E38" s="3">
        <v>161</v>
      </c>
      <c r="F38" s="3">
        <v>165</v>
      </c>
      <c r="G38" s="3" t="s">
        <v>15</v>
      </c>
      <c r="H38" s="3" t="s">
        <v>29</v>
      </c>
      <c r="I38" s="3" t="s">
        <v>155</v>
      </c>
      <c r="J38" s="4">
        <v>45863</v>
      </c>
      <c r="K38" s="3" t="s">
        <v>156</v>
      </c>
      <c r="L38" s="3">
        <f>SUM(Sheet2!A38-F38)</f>
        <v>0</v>
      </c>
      <c r="M38" s="3" t="s">
        <v>733</v>
      </c>
    </row>
    <row r="39" spans="1:13" x14ac:dyDescent="0.3">
      <c r="A39" s="3">
        <v>38</v>
      </c>
      <c r="B39" s="3" t="s">
        <v>157</v>
      </c>
      <c r="C39" s="3" t="s">
        <v>158</v>
      </c>
      <c r="D39" s="3">
        <v>190</v>
      </c>
      <c r="E39" s="3">
        <v>190</v>
      </c>
      <c r="F39" s="3">
        <v>202</v>
      </c>
      <c r="G39" s="3" t="s">
        <v>15</v>
      </c>
      <c r="H39" s="3" t="s">
        <v>29</v>
      </c>
      <c r="I39" s="3" t="s">
        <v>159</v>
      </c>
      <c r="J39" s="4">
        <v>45863</v>
      </c>
      <c r="K39" s="3" t="s">
        <v>160</v>
      </c>
      <c r="L39" s="3">
        <f>SUM(Sheet2!A39-F39)</f>
        <v>0</v>
      </c>
      <c r="M39" s="3" t="s">
        <v>734</v>
      </c>
    </row>
    <row r="40" spans="1:13" x14ac:dyDescent="0.3">
      <c r="A40" s="3">
        <v>39</v>
      </c>
      <c r="B40" s="3" t="s">
        <v>161</v>
      </c>
      <c r="C40" s="3" t="s">
        <v>162</v>
      </c>
      <c r="D40" s="3">
        <v>134</v>
      </c>
      <c r="E40" s="3">
        <v>135</v>
      </c>
      <c r="F40" s="3">
        <v>136</v>
      </c>
      <c r="G40" s="3" t="s">
        <v>163</v>
      </c>
      <c r="H40" s="3" t="s">
        <v>164</v>
      </c>
      <c r="I40" s="3" t="s">
        <v>165</v>
      </c>
      <c r="J40" s="4">
        <v>45863</v>
      </c>
      <c r="K40" s="3" t="s">
        <v>166</v>
      </c>
      <c r="L40" s="3">
        <f>SUM(Sheet2!A40-F40)</f>
        <v>0</v>
      </c>
      <c r="M40" s="3" t="s">
        <v>735</v>
      </c>
    </row>
    <row r="41" spans="1:13" x14ac:dyDescent="0.3">
      <c r="A41" s="3">
        <v>40</v>
      </c>
      <c r="B41" s="3" t="s">
        <v>167</v>
      </c>
      <c r="C41" s="3" t="s">
        <v>168</v>
      </c>
      <c r="D41" s="3">
        <v>31</v>
      </c>
      <c r="E41" s="3">
        <v>31</v>
      </c>
      <c r="F41" s="3">
        <v>31</v>
      </c>
      <c r="G41" s="3" t="s">
        <v>15</v>
      </c>
      <c r="H41" s="3" t="s">
        <v>16</v>
      </c>
      <c r="I41" s="3" t="s">
        <v>169</v>
      </c>
      <c r="J41" s="4">
        <v>45863</v>
      </c>
      <c r="K41" s="3" t="s">
        <v>170</v>
      </c>
      <c r="L41" s="3">
        <f>SUM(Sheet2!A41-F41)</f>
        <v>0</v>
      </c>
      <c r="M41" s="3" t="s">
        <v>736</v>
      </c>
    </row>
    <row r="42" spans="1:13" x14ac:dyDescent="0.3">
      <c r="A42" s="3">
        <v>41</v>
      </c>
      <c r="B42" s="3" t="s">
        <v>171</v>
      </c>
      <c r="C42" s="3" t="s">
        <v>172</v>
      </c>
      <c r="D42" s="3">
        <v>227</v>
      </c>
      <c r="E42" s="3">
        <v>227</v>
      </c>
      <c r="F42" s="3">
        <v>223</v>
      </c>
      <c r="G42" s="3" t="s">
        <v>15</v>
      </c>
      <c r="H42" s="3" t="s">
        <v>29</v>
      </c>
      <c r="I42" s="3" t="s">
        <v>173</v>
      </c>
      <c r="J42" s="4">
        <v>45863</v>
      </c>
      <c r="K42" s="3" t="s">
        <v>174</v>
      </c>
      <c r="L42" s="3">
        <f>SUM(Sheet2!A42-F42)</f>
        <v>0</v>
      </c>
      <c r="M42" s="3" t="s">
        <v>737</v>
      </c>
    </row>
    <row r="43" spans="1:13" x14ac:dyDescent="0.3">
      <c r="A43" s="3">
        <v>42</v>
      </c>
      <c r="B43" s="3" t="s">
        <v>175</v>
      </c>
      <c r="C43" s="3" t="s">
        <v>176</v>
      </c>
      <c r="D43" s="3">
        <v>22</v>
      </c>
      <c r="E43" s="3">
        <v>22</v>
      </c>
      <c r="F43" s="3">
        <v>22</v>
      </c>
      <c r="G43" s="3" t="s">
        <v>15</v>
      </c>
      <c r="H43" s="3" t="s">
        <v>16</v>
      </c>
      <c r="I43" s="3" t="s">
        <v>177</v>
      </c>
      <c r="J43" s="4">
        <v>45863</v>
      </c>
      <c r="K43" s="3" t="s">
        <v>178</v>
      </c>
      <c r="L43" s="3">
        <f>SUM(Sheet2!A43-F43)</f>
        <v>0</v>
      </c>
      <c r="M43" s="3" t="s">
        <v>738</v>
      </c>
    </row>
    <row r="44" spans="1:13" x14ac:dyDescent="0.3">
      <c r="A44" s="3">
        <v>43</v>
      </c>
      <c r="B44" s="3" t="s">
        <v>179</v>
      </c>
      <c r="C44" s="3" t="s">
        <v>180</v>
      </c>
      <c r="D44" s="3">
        <v>16</v>
      </c>
      <c r="E44" s="3">
        <v>16</v>
      </c>
      <c r="F44" s="3">
        <v>16</v>
      </c>
      <c r="G44" s="3" t="s">
        <v>15</v>
      </c>
      <c r="H44" s="3" t="s">
        <v>29</v>
      </c>
      <c r="I44" s="3" t="s">
        <v>181</v>
      </c>
      <c r="J44" s="4">
        <v>45863</v>
      </c>
      <c r="K44" s="3" t="s">
        <v>182</v>
      </c>
      <c r="L44" s="3">
        <f>SUM(Sheet2!A44-F44)</f>
        <v>0</v>
      </c>
      <c r="M44" s="3" t="s">
        <v>739</v>
      </c>
    </row>
    <row r="45" spans="1:13" x14ac:dyDescent="0.3">
      <c r="A45" s="3">
        <v>44</v>
      </c>
      <c r="B45" s="3" t="s">
        <v>183</v>
      </c>
      <c r="C45" s="3" t="s">
        <v>184</v>
      </c>
      <c r="D45" s="3">
        <v>5</v>
      </c>
      <c r="E45" s="3">
        <v>4</v>
      </c>
      <c r="F45" s="3">
        <v>6</v>
      </c>
      <c r="G45" s="3" t="s">
        <v>15</v>
      </c>
      <c r="H45" s="3" t="s">
        <v>29</v>
      </c>
      <c r="I45" s="3" t="s">
        <v>185</v>
      </c>
      <c r="J45" s="4">
        <v>45863</v>
      </c>
      <c r="K45" s="3" t="s">
        <v>186</v>
      </c>
      <c r="L45" s="3">
        <f>SUM(Sheet2!A45-F45)</f>
        <v>0</v>
      </c>
      <c r="M45" s="3" t="s">
        <v>740</v>
      </c>
    </row>
    <row r="46" spans="1:13" x14ac:dyDescent="0.3">
      <c r="A46" s="3">
        <v>45</v>
      </c>
      <c r="B46" s="3" t="s">
        <v>187</v>
      </c>
      <c r="C46" s="3" t="s">
        <v>188</v>
      </c>
      <c r="D46" s="3">
        <v>25</v>
      </c>
      <c r="E46" s="3">
        <v>25</v>
      </c>
      <c r="F46" s="3">
        <v>25</v>
      </c>
      <c r="G46" s="3" t="s">
        <v>15</v>
      </c>
      <c r="H46" s="3" t="s">
        <v>16</v>
      </c>
      <c r="I46" s="3" t="s">
        <v>189</v>
      </c>
      <c r="J46" s="4">
        <v>45863</v>
      </c>
      <c r="K46" s="3" t="s">
        <v>190</v>
      </c>
      <c r="L46" s="3">
        <f>SUM(Sheet2!A46-F46)</f>
        <v>0</v>
      </c>
      <c r="M46" s="3" t="s">
        <v>741</v>
      </c>
    </row>
    <row r="47" spans="1:13" x14ac:dyDescent="0.3">
      <c r="A47" s="3">
        <v>46</v>
      </c>
      <c r="B47" s="3" t="s">
        <v>191</v>
      </c>
      <c r="C47" s="3" t="s">
        <v>192</v>
      </c>
      <c r="D47" s="3">
        <v>54</v>
      </c>
      <c r="E47" s="3">
        <v>55</v>
      </c>
      <c r="F47" s="3">
        <v>53</v>
      </c>
      <c r="G47" s="3" t="s">
        <v>15</v>
      </c>
      <c r="H47" s="3" t="s">
        <v>16</v>
      </c>
      <c r="I47" s="3" t="s">
        <v>193</v>
      </c>
      <c r="J47" s="4">
        <v>45863</v>
      </c>
      <c r="K47" s="3" t="s">
        <v>194</v>
      </c>
      <c r="L47" s="3">
        <f>SUM(Sheet2!A47-F47)</f>
        <v>0</v>
      </c>
      <c r="M47" s="3" t="s">
        <v>742</v>
      </c>
    </row>
    <row r="48" spans="1:13" x14ac:dyDescent="0.3">
      <c r="A48" s="3">
        <v>47</v>
      </c>
      <c r="B48" s="3" t="s">
        <v>195</v>
      </c>
      <c r="C48" s="3" t="s">
        <v>196</v>
      </c>
      <c r="D48" s="3">
        <v>35</v>
      </c>
      <c r="E48" s="3">
        <v>25</v>
      </c>
      <c r="F48" s="3">
        <v>26</v>
      </c>
      <c r="G48" s="3" t="s">
        <v>15</v>
      </c>
      <c r="H48" s="3" t="s">
        <v>29</v>
      </c>
      <c r="I48" s="3" t="s">
        <v>197</v>
      </c>
      <c r="J48" s="4">
        <v>45863</v>
      </c>
      <c r="K48" s="3" t="s">
        <v>198</v>
      </c>
      <c r="L48" s="3">
        <f>SUM(Sheet2!A48-F48)</f>
        <v>-4</v>
      </c>
      <c r="M48" s="3" t="s">
        <v>743</v>
      </c>
    </row>
    <row r="49" spans="1:13" x14ac:dyDescent="0.3">
      <c r="A49" s="3">
        <v>48</v>
      </c>
      <c r="B49" s="3" t="s">
        <v>199</v>
      </c>
      <c r="C49" s="3" t="s">
        <v>200</v>
      </c>
      <c r="D49" s="3">
        <v>35</v>
      </c>
      <c r="E49" s="3">
        <v>35</v>
      </c>
      <c r="F49" s="3">
        <v>35</v>
      </c>
      <c r="G49" s="3" t="s">
        <v>15</v>
      </c>
      <c r="H49" s="3" t="s">
        <v>29</v>
      </c>
      <c r="I49" s="3" t="s">
        <v>201</v>
      </c>
      <c r="J49" s="4">
        <v>45863</v>
      </c>
      <c r="K49" s="3" t="s">
        <v>202</v>
      </c>
      <c r="L49" s="3">
        <f>SUM(Sheet2!A49-F49)</f>
        <v>0</v>
      </c>
      <c r="M49" s="3" t="s">
        <v>744</v>
      </c>
    </row>
    <row r="50" spans="1:13" x14ac:dyDescent="0.3">
      <c r="A50" s="3">
        <v>49</v>
      </c>
      <c r="B50" s="3" t="s">
        <v>203</v>
      </c>
      <c r="C50" s="3" t="s">
        <v>204</v>
      </c>
      <c r="D50" s="3">
        <v>20</v>
      </c>
      <c r="E50" s="3">
        <v>20</v>
      </c>
      <c r="F50" s="3">
        <v>23</v>
      </c>
      <c r="G50" s="3" t="s">
        <v>15</v>
      </c>
      <c r="H50" s="3" t="s">
        <v>29</v>
      </c>
      <c r="I50" s="3" t="s">
        <v>205</v>
      </c>
      <c r="J50" s="4">
        <v>45863</v>
      </c>
      <c r="K50" s="3" t="s">
        <v>206</v>
      </c>
      <c r="L50" s="3">
        <f>SUM(Sheet2!A50-F50)</f>
        <v>-3</v>
      </c>
      <c r="M50" s="3" t="s">
        <v>745</v>
      </c>
    </row>
    <row r="51" spans="1:13" x14ac:dyDescent="0.3">
      <c r="A51" s="3">
        <v>50</v>
      </c>
      <c r="B51" s="3" t="s">
        <v>207</v>
      </c>
      <c r="C51" s="3" t="s">
        <v>208</v>
      </c>
      <c r="D51" s="3">
        <v>31</v>
      </c>
      <c r="E51" s="3">
        <v>31</v>
      </c>
      <c r="F51" s="3">
        <v>31</v>
      </c>
      <c r="G51" s="3" t="s">
        <v>15</v>
      </c>
      <c r="H51" s="3" t="s">
        <v>29</v>
      </c>
      <c r="I51" s="3" t="s">
        <v>209</v>
      </c>
      <c r="J51" s="4">
        <v>45863</v>
      </c>
      <c r="K51" s="3" t="s">
        <v>210</v>
      </c>
      <c r="L51" s="3">
        <f>SUM(Sheet2!A51-F51)</f>
        <v>-5</v>
      </c>
      <c r="M51" s="3" t="s">
        <v>746</v>
      </c>
    </row>
    <row r="52" spans="1:13" x14ac:dyDescent="0.3">
      <c r="A52" s="3">
        <v>51</v>
      </c>
      <c r="B52" s="3" t="s">
        <v>211</v>
      </c>
      <c r="C52" s="3" t="s">
        <v>212</v>
      </c>
      <c r="D52" s="3">
        <v>30</v>
      </c>
      <c r="E52" s="3">
        <v>30</v>
      </c>
      <c r="F52" s="3">
        <v>32</v>
      </c>
      <c r="G52" s="3" t="s">
        <v>15</v>
      </c>
      <c r="H52" s="3" t="s">
        <v>29</v>
      </c>
      <c r="I52" s="3" t="s">
        <v>213</v>
      </c>
      <c r="J52" s="4">
        <v>45863</v>
      </c>
      <c r="K52" s="3" t="s">
        <v>214</v>
      </c>
      <c r="L52" s="3">
        <f>SUM(Sheet2!A52-F52)</f>
        <v>0</v>
      </c>
      <c r="M52" s="3" t="s">
        <v>747</v>
      </c>
    </row>
    <row r="53" spans="1:13" x14ac:dyDescent="0.3">
      <c r="A53" s="3">
        <v>52</v>
      </c>
      <c r="B53" s="3" t="s">
        <v>215</v>
      </c>
      <c r="C53" s="3" t="s">
        <v>216</v>
      </c>
      <c r="D53" s="3">
        <v>27</v>
      </c>
      <c r="E53" s="3">
        <v>30</v>
      </c>
      <c r="F53" s="3">
        <v>31</v>
      </c>
      <c r="G53" s="3" t="s">
        <v>15</v>
      </c>
      <c r="H53" s="3" t="s">
        <v>29</v>
      </c>
      <c r="I53" s="3" t="s">
        <v>217</v>
      </c>
      <c r="J53" s="4">
        <v>45863</v>
      </c>
      <c r="K53" s="3" t="s">
        <v>218</v>
      </c>
      <c r="L53" s="3">
        <f>SUM(Sheet2!A53-F53)</f>
        <v>-4</v>
      </c>
      <c r="M53" s="3" t="s">
        <v>748</v>
      </c>
    </row>
    <row r="54" spans="1:13" x14ac:dyDescent="0.3">
      <c r="A54" s="3">
        <v>53</v>
      </c>
      <c r="B54" s="3" t="s">
        <v>219</v>
      </c>
      <c r="C54" s="3" t="s">
        <v>220</v>
      </c>
      <c r="D54" s="3">
        <v>7</v>
      </c>
      <c r="E54" s="3">
        <v>8</v>
      </c>
      <c r="F54" s="3">
        <v>9</v>
      </c>
      <c r="G54" s="3" t="s">
        <v>15</v>
      </c>
      <c r="H54" s="3" t="s">
        <v>29</v>
      </c>
      <c r="I54" s="3" t="s">
        <v>221</v>
      </c>
      <c r="J54" s="4">
        <v>45863</v>
      </c>
      <c r="K54" s="3" t="s">
        <v>222</v>
      </c>
      <c r="L54" s="3">
        <f>SUM(Sheet2!A54-F54)</f>
        <v>-2</v>
      </c>
      <c r="M54" s="3" t="s">
        <v>749</v>
      </c>
    </row>
    <row r="55" spans="1:13" x14ac:dyDescent="0.3">
      <c r="A55" s="3">
        <v>54</v>
      </c>
      <c r="B55" s="3" t="s">
        <v>223</v>
      </c>
      <c r="C55" s="3" t="s">
        <v>224</v>
      </c>
      <c r="D55" s="3">
        <v>25</v>
      </c>
      <c r="E55" s="3">
        <v>25</v>
      </c>
      <c r="F55" s="3">
        <v>31</v>
      </c>
      <c r="G55" s="3" t="s">
        <v>15</v>
      </c>
      <c r="H55" s="3" t="s">
        <v>29</v>
      </c>
      <c r="I55" s="3" t="s">
        <v>225</v>
      </c>
      <c r="J55" s="4">
        <v>45863</v>
      </c>
      <c r="K55" s="3" t="s">
        <v>226</v>
      </c>
      <c r="L55" s="3">
        <f>SUM(Sheet2!A55-F55)</f>
        <v>-6</v>
      </c>
      <c r="M55" s="3" t="s">
        <v>750</v>
      </c>
    </row>
    <row r="56" spans="1:13" x14ac:dyDescent="0.3">
      <c r="A56" s="3">
        <v>55</v>
      </c>
      <c r="B56" s="3" t="s">
        <v>227</v>
      </c>
      <c r="C56" s="3" t="s">
        <v>228</v>
      </c>
      <c r="D56" s="3">
        <v>17</v>
      </c>
      <c r="E56" s="3">
        <v>17</v>
      </c>
      <c r="F56" s="3">
        <v>19</v>
      </c>
      <c r="G56" s="3" t="s">
        <v>15</v>
      </c>
      <c r="H56" s="3" t="s">
        <v>29</v>
      </c>
      <c r="I56" s="3" t="s">
        <v>229</v>
      </c>
      <c r="J56" s="4">
        <v>45863</v>
      </c>
      <c r="K56" s="3" t="s">
        <v>230</v>
      </c>
      <c r="L56" s="3">
        <f>SUM(Sheet2!A56-F56)</f>
        <v>-19</v>
      </c>
      <c r="M56" s="3" t="s">
        <v>751</v>
      </c>
    </row>
    <row r="57" spans="1:13" x14ac:dyDescent="0.3">
      <c r="A57" s="3">
        <v>56</v>
      </c>
      <c r="B57" s="3" t="s">
        <v>231</v>
      </c>
      <c r="C57" s="3" t="s">
        <v>232</v>
      </c>
      <c r="D57" s="3">
        <v>27</v>
      </c>
      <c r="E57" s="3">
        <v>31</v>
      </c>
      <c r="F57" s="3">
        <v>27</v>
      </c>
      <c r="G57" s="3" t="s">
        <v>15</v>
      </c>
      <c r="H57" s="3" t="s">
        <v>16</v>
      </c>
      <c r="I57" s="3" t="s">
        <v>233</v>
      </c>
      <c r="J57" s="4">
        <v>45863</v>
      </c>
      <c r="K57" s="3" t="s">
        <v>234</v>
      </c>
      <c r="L57" s="3">
        <f>SUM(Sheet2!A57-F57)</f>
        <v>0</v>
      </c>
      <c r="M57" s="3" t="s">
        <v>752</v>
      </c>
    </row>
    <row r="58" spans="1:13" x14ac:dyDescent="0.3">
      <c r="A58" s="3">
        <v>57</v>
      </c>
      <c r="B58" s="3" t="s">
        <v>235</v>
      </c>
      <c r="C58" s="3" t="s">
        <v>236</v>
      </c>
      <c r="D58" s="3">
        <v>27</v>
      </c>
      <c r="E58" s="3">
        <v>27</v>
      </c>
      <c r="F58" s="3">
        <v>27</v>
      </c>
      <c r="G58" s="3" t="s">
        <v>15</v>
      </c>
      <c r="H58" s="3" t="s">
        <v>16</v>
      </c>
      <c r="I58" s="3" t="s">
        <v>237</v>
      </c>
      <c r="J58" s="4">
        <v>45863</v>
      </c>
      <c r="K58" s="3" t="s">
        <v>238</v>
      </c>
      <c r="L58" s="3">
        <f>SUM(Sheet2!A58-F58)</f>
        <v>-1</v>
      </c>
      <c r="M58" s="3" t="s">
        <v>753</v>
      </c>
    </row>
    <row r="59" spans="1:13" x14ac:dyDescent="0.3">
      <c r="A59" s="3">
        <v>58</v>
      </c>
      <c r="B59" s="3" t="s">
        <v>239</v>
      </c>
      <c r="C59" s="3" t="s">
        <v>240</v>
      </c>
      <c r="D59" s="3">
        <v>14</v>
      </c>
      <c r="E59" s="3">
        <v>14</v>
      </c>
      <c r="F59" s="3">
        <v>14</v>
      </c>
      <c r="G59" s="3" t="s">
        <v>15</v>
      </c>
      <c r="H59" s="3" t="s">
        <v>16</v>
      </c>
      <c r="I59" s="3" t="s">
        <v>241</v>
      </c>
      <c r="J59" s="4">
        <v>45863</v>
      </c>
      <c r="K59" s="3" t="s">
        <v>242</v>
      </c>
      <c r="L59" s="3">
        <f>SUM(Sheet2!A59-F59)</f>
        <v>0</v>
      </c>
      <c r="M59" s="3" t="s">
        <v>754</v>
      </c>
    </row>
    <row r="60" spans="1:13" x14ac:dyDescent="0.3">
      <c r="A60" s="3">
        <v>59</v>
      </c>
      <c r="B60" s="3" t="s">
        <v>243</v>
      </c>
      <c r="C60" s="3" t="s">
        <v>244</v>
      </c>
      <c r="D60" s="3">
        <v>40</v>
      </c>
      <c r="E60" s="3">
        <v>40</v>
      </c>
      <c r="F60" s="3">
        <v>36</v>
      </c>
      <c r="G60" s="3" t="s">
        <v>15</v>
      </c>
      <c r="H60" s="3" t="s">
        <v>29</v>
      </c>
      <c r="I60" s="3" t="s">
        <v>245</v>
      </c>
      <c r="J60" s="4">
        <v>45863</v>
      </c>
      <c r="K60" s="3" t="s">
        <v>246</v>
      </c>
      <c r="L60" s="3">
        <f>SUM(Sheet2!A60-F60)</f>
        <v>4</v>
      </c>
      <c r="M60" s="3" t="s">
        <v>755</v>
      </c>
    </row>
    <row r="61" spans="1:13" x14ac:dyDescent="0.3">
      <c r="A61" s="3">
        <v>60</v>
      </c>
      <c r="B61" s="3" t="s">
        <v>247</v>
      </c>
      <c r="C61" s="3" t="s">
        <v>248</v>
      </c>
      <c r="D61" s="3">
        <v>164</v>
      </c>
      <c r="E61" s="3">
        <v>134</v>
      </c>
      <c r="F61" s="3">
        <v>164</v>
      </c>
      <c r="G61" s="3" t="s">
        <v>15</v>
      </c>
      <c r="H61" s="3" t="s">
        <v>16</v>
      </c>
      <c r="I61" s="3" t="s">
        <v>249</v>
      </c>
      <c r="J61" s="4">
        <v>45863</v>
      </c>
      <c r="K61" s="3" t="s">
        <v>250</v>
      </c>
      <c r="L61" s="3">
        <f>SUM(Sheet2!A61-F61)</f>
        <v>0</v>
      </c>
      <c r="M61" s="3" t="s">
        <v>756</v>
      </c>
    </row>
    <row r="62" spans="1:13" x14ac:dyDescent="0.3">
      <c r="A62" s="3">
        <v>61</v>
      </c>
      <c r="B62" s="3" t="s">
        <v>251</v>
      </c>
      <c r="C62" s="3" t="s">
        <v>252</v>
      </c>
      <c r="D62" s="3">
        <v>187</v>
      </c>
      <c r="E62" s="3">
        <v>187</v>
      </c>
      <c r="F62" s="3">
        <v>187</v>
      </c>
      <c r="G62" s="3" t="s">
        <v>15</v>
      </c>
      <c r="H62" s="3" t="s">
        <v>16</v>
      </c>
      <c r="I62" s="3" t="s">
        <v>253</v>
      </c>
      <c r="J62" s="4">
        <v>45863</v>
      </c>
      <c r="K62" s="3" t="s">
        <v>254</v>
      </c>
      <c r="L62" s="3">
        <f>SUM(Sheet2!A62-F62)</f>
        <v>0</v>
      </c>
      <c r="M62" s="3" t="s">
        <v>757</v>
      </c>
    </row>
    <row r="63" spans="1:13" x14ac:dyDescent="0.3">
      <c r="A63" s="3">
        <v>62</v>
      </c>
      <c r="B63" s="3" t="s">
        <v>255</v>
      </c>
      <c r="C63" s="3" t="s">
        <v>256</v>
      </c>
      <c r="D63" s="3">
        <v>230</v>
      </c>
      <c r="E63" s="3">
        <v>230</v>
      </c>
      <c r="F63" s="3">
        <v>230</v>
      </c>
      <c r="G63" s="3" t="s">
        <v>15</v>
      </c>
      <c r="H63" s="3" t="s">
        <v>16</v>
      </c>
      <c r="I63" s="3" t="s">
        <v>257</v>
      </c>
      <c r="J63" s="4">
        <v>45863</v>
      </c>
      <c r="K63" s="3" t="s">
        <v>258</v>
      </c>
      <c r="L63" s="3">
        <f>SUM(Sheet2!A63-F63)</f>
        <v>0</v>
      </c>
      <c r="M63" s="3" t="s">
        <v>758</v>
      </c>
    </row>
    <row r="64" spans="1:13" x14ac:dyDescent="0.3">
      <c r="A64" s="3">
        <v>63</v>
      </c>
      <c r="B64" s="3" t="s">
        <v>259</v>
      </c>
      <c r="C64" s="3" t="s">
        <v>260</v>
      </c>
      <c r="D64" s="3">
        <v>242</v>
      </c>
      <c r="E64" s="3">
        <v>249</v>
      </c>
      <c r="F64" s="3">
        <v>249</v>
      </c>
      <c r="G64" s="3" t="s">
        <v>15</v>
      </c>
      <c r="H64" s="3" t="s">
        <v>16</v>
      </c>
      <c r="I64" s="3" t="s">
        <v>261</v>
      </c>
      <c r="J64" s="4">
        <v>45863</v>
      </c>
      <c r="K64" s="3" t="s">
        <v>262</v>
      </c>
      <c r="L64" s="3">
        <f>SUM(Sheet2!A64-F64)</f>
        <v>0</v>
      </c>
      <c r="M64" s="3" t="s">
        <v>759</v>
      </c>
    </row>
    <row r="65" spans="1:13" x14ac:dyDescent="0.3">
      <c r="A65" s="3">
        <v>64</v>
      </c>
      <c r="B65" s="3" t="s">
        <v>263</v>
      </c>
      <c r="C65" s="3" t="s">
        <v>264</v>
      </c>
      <c r="D65" s="3">
        <v>222</v>
      </c>
      <c r="E65" s="3">
        <v>222</v>
      </c>
      <c r="F65" s="3">
        <v>222</v>
      </c>
      <c r="G65" s="3" t="s">
        <v>15</v>
      </c>
      <c r="H65" s="3" t="s">
        <v>16</v>
      </c>
      <c r="I65" s="3" t="s">
        <v>265</v>
      </c>
      <c r="J65" s="4">
        <v>45863</v>
      </c>
      <c r="K65" s="3" t="s">
        <v>266</v>
      </c>
      <c r="L65" s="3">
        <f>SUM(Sheet2!A65-F65)</f>
        <v>0</v>
      </c>
      <c r="M65" s="3" t="s">
        <v>760</v>
      </c>
    </row>
    <row r="66" spans="1:13" x14ac:dyDescent="0.3">
      <c r="A66" s="3">
        <v>65</v>
      </c>
      <c r="B66" s="3" t="s">
        <v>267</v>
      </c>
      <c r="C66" s="3" t="s">
        <v>268</v>
      </c>
      <c r="D66" s="3">
        <v>80</v>
      </c>
      <c r="E66" s="3">
        <v>79</v>
      </c>
      <c r="F66" s="3">
        <v>80</v>
      </c>
      <c r="G66" s="3" t="s">
        <v>15</v>
      </c>
      <c r="H66" s="3" t="s">
        <v>29</v>
      </c>
      <c r="I66" s="3" t="s">
        <v>269</v>
      </c>
      <c r="J66" s="4">
        <v>45863</v>
      </c>
      <c r="K66" s="3" t="s">
        <v>270</v>
      </c>
      <c r="L66" s="3">
        <f>SUM(Sheet2!A66-F66)</f>
        <v>0</v>
      </c>
      <c r="M66" s="3" t="s">
        <v>761</v>
      </c>
    </row>
    <row r="67" spans="1:13" x14ac:dyDescent="0.3">
      <c r="A67" s="3">
        <v>66</v>
      </c>
      <c r="B67" s="3" t="s">
        <v>271</v>
      </c>
      <c r="C67" s="3" t="s">
        <v>272</v>
      </c>
      <c r="D67" s="3">
        <v>45</v>
      </c>
      <c r="E67" s="3">
        <v>45</v>
      </c>
      <c r="F67" s="3">
        <v>38</v>
      </c>
      <c r="G67" s="3" t="s">
        <v>15</v>
      </c>
      <c r="H67" s="3" t="s">
        <v>16</v>
      </c>
      <c r="I67" s="3" t="s">
        <v>273</v>
      </c>
      <c r="J67" s="4">
        <v>45863</v>
      </c>
      <c r="K67" s="3" t="s">
        <v>274</v>
      </c>
      <c r="L67" s="3">
        <f>SUM(Sheet2!A67-F67)</f>
        <v>11</v>
      </c>
      <c r="M67" s="3" t="s">
        <v>762</v>
      </c>
    </row>
    <row r="68" spans="1:13" x14ac:dyDescent="0.3">
      <c r="A68" s="3">
        <v>67</v>
      </c>
      <c r="B68" s="3" t="s">
        <v>275</v>
      </c>
      <c r="C68" s="3" t="s">
        <v>276</v>
      </c>
      <c r="D68" s="3">
        <v>75</v>
      </c>
      <c r="E68" s="3">
        <v>81</v>
      </c>
      <c r="F68" s="3">
        <v>80</v>
      </c>
      <c r="G68" s="3" t="s">
        <v>15</v>
      </c>
      <c r="H68" s="3" t="s">
        <v>16</v>
      </c>
      <c r="I68" s="3" t="s">
        <v>277</v>
      </c>
      <c r="J68" s="4">
        <v>45863</v>
      </c>
      <c r="K68" s="3" t="s">
        <v>278</v>
      </c>
      <c r="L68" s="3">
        <f>SUM(Sheet2!A68-F68)</f>
        <v>12</v>
      </c>
      <c r="M68" s="3" t="s">
        <v>763</v>
      </c>
    </row>
    <row r="69" spans="1:13" x14ac:dyDescent="0.3">
      <c r="A69" s="3">
        <v>68</v>
      </c>
      <c r="B69" s="3" t="s">
        <v>279</v>
      </c>
      <c r="C69" s="3" t="s">
        <v>280</v>
      </c>
      <c r="D69" s="3">
        <v>80</v>
      </c>
      <c r="E69" s="3">
        <v>80</v>
      </c>
      <c r="F69" s="3">
        <v>80</v>
      </c>
      <c r="G69" s="3" t="s">
        <v>15</v>
      </c>
      <c r="H69" s="3" t="s">
        <v>16</v>
      </c>
      <c r="I69" s="3" t="s">
        <v>281</v>
      </c>
      <c r="J69" s="4">
        <v>45863</v>
      </c>
      <c r="K69" s="3" t="s">
        <v>282</v>
      </c>
      <c r="L69" s="3">
        <f>SUM(Sheet2!A69-F69)</f>
        <v>0</v>
      </c>
      <c r="M69" s="3" t="s">
        <v>764</v>
      </c>
    </row>
    <row r="70" spans="1:13" x14ac:dyDescent="0.3">
      <c r="A70" s="3">
        <v>69</v>
      </c>
      <c r="B70" s="3" t="s">
        <v>283</v>
      </c>
      <c r="C70" s="3" t="s">
        <v>284</v>
      </c>
      <c r="D70" s="3">
        <v>75</v>
      </c>
      <c r="E70" s="3">
        <v>81</v>
      </c>
      <c r="F70" s="3">
        <v>76</v>
      </c>
      <c r="G70" s="3" t="s">
        <v>15</v>
      </c>
      <c r="H70" s="3" t="s">
        <v>16</v>
      </c>
      <c r="I70" s="3" t="s">
        <v>285</v>
      </c>
      <c r="J70" s="4">
        <v>45863</v>
      </c>
      <c r="K70" s="3" t="s">
        <v>286</v>
      </c>
      <c r="L70" s="3">
        <f>SUM(Sheet2!A70-F70)</f>
        <v>0</v>
      </c>
      <c r="M70" s="3" t="s">
        <v>765</v>
      </c>
    </row>
    <row r="71" spans="1:13" x14ac:dyDescent="0.3">
      <c r="A71" s="3">
        <v>70</v>
      </c>
      <c r="B71" s="3" t="s">
        <v>287</v>
      </c>
      <c r="C71" s="3" t="s">
        <v>288</v>
      </c>
      <c r="D71" s="3">
        <v>198</v>
      </c>
      <c r="E71" s="3">
        <v>220</v>
      </c>
      <c r="F71" s="3">
        <v>202</v>
      </c>
      <c r="G71" s="3" t="s">
        <v>15</v>
      </c>
      <c r="H71" s="3" t="s">
        <v>16</v>
      </c>
      <c r="I71" s="3" t="s">
        <v>289</v>
      </c>
      <c r="J71" s="4">
        <v>45863</v>
      </c>
      <c r="K71" s="3" t="s">
        <v>274</v>
      </c>
      <c r="L71" s="3">
        <f>SUM(Sheet2!A71-F71)</f>
        <v>0</v>
      </c>
      <c r="M71" s="3" t="s">
        <v>766</v>
      </c>
    </row>
    <row r="72" spans="1:13" x14ac:dyDescent="0.3">
      <c r="A72" s="3">
        <v>71</v>
      </c>
      <c r="B72" s="3" t="s">
        <v>290</v>
      </c>
      <c r="C72" s="3" t="s">
        <v>291</v>
      </c>
      <c r="D72" s="3">
        <v>78</v>
      </c>
      <c r="E72" s="3">
        <v>80</v>
      </c>
      <c r="F72" s="3">
        <v>80</v>
      </c>
      <c r="G72" s="3" t="s">
        <v>15</v>
      </c>
      <c r="H72" s="3" t="s">
        <v>16</v>
      </c>
      <c r="I72" s="3" t="s">
        <v>292</v>
      </c>
      <c r="J72" s="4">
        <v>45863</v>
      </c>
      <c r="K72" s="3" t="s">
        <v>293</v>
      </c>
      <c r="L72" s="3">
        <f>SUM(Sheet2!A72-F72)</f>
        <v>1</v>
      </c>
      <c r="M72" s="3" t="s">
        <v>767</v>
      </c>
    </row>
    <row r="73" spans="1:13" x14ac:dyDescent="0.3">
      <c r="A73" s="3">
        <v>72</v>
      </c>
      <c r="B73" s="3" t="s">
        <v>294</v>
      </c>
      <c r="C73" s="3" t="s">
        <v>295</v>
      </c>
      <c r="D73" s="3">
        <v>144</v>
      </c>
      <c r="E73" s="3">
        <v>143</v>
      </c>
      <c r="F73" s="3">
        <v>144</v>
      </c>
      <c r="G73" s="3" t="s">
        <v>163</v>
      </c>
      <c r="H73" s="3" t="s">
        <v>164</v>
      </c>
      <c r="I73" s="3" t="s">
        <v>296</v>
      </c>
      <c r="J73" s="4">
        <v>45863</v>
      </c>
      <c r="K73" s="3" t="s">
        <v>297</v>
      </c>
      <c r="L73" s="3">
        <f>SUM(Sheet2!A73-F73)</f>
        <v>0</v>
      </c>
      <c r="M73" s="3" t="s">
        <v>768</v>
      </c>
    </row>
    <row r="74" spans="1:13" x14ac:dyDescent="0.3">
      <c r="A74" s="3">
        <v>73</v>
      </c>
      <c r="B74" s="3" t="s">
        <v>298</v>
      </c>
      <c r="C74" s="3" t="s">
        <v>299</v>
      </c>
      <c r="D74" s="3">
        <v>7</v>
      </c>
      <c r="E74" s="3">
        <v>5</v>
      </c>
      <c r="F74" s="3">
        <v>6</v>
      </c>
      <c r="G74" s="3" t="s">
        <v>15</v>
      </c>
      <c r="H74" s="3" t="s">
        <v>16</v>
      </c>
      <c r="I74" s="3" t="s">
        <v>300</v>
      </c>
      <c r="J74" s="4">
        <v>45863</v>
      </c>
      <c r="K74" s="3" t="s">
        <v>301</v>
      </c>
      <c r="L74" s="3">
        <f>SUM(Sheet2!A74-F74)</f>
        <v>0</v>
      </c>
      <c r="M74" s="3" t="s">
        <v>769</v>
      </c>
    </row>
    <row r="75" spans="1:13" x14ac:dyDescent="0.3">
      <c r="A75" s="3">
        <v>74</v>
      </c>
      <c r="B75" s="3" t="s">
        <v>302</v>
      </c>
      <c r="C75" s="3" t="s">
        <v>303</v>
      </c>
      <c r="D75" s="3">
        <v>80</v>
      </c>
      <c r="E75" s="3">
        <v>80</v>
      </c>
      <c r="F75" s="3">
        <v>82</v>
      </c>
      <c r="G75" s="3" t="s">
        <v>15</v>
      </c>
      <c r="H75" s="3" t="s">
        <v>29</v>
      </c>
      <c r="I75" s="3" t="s">
        <v>304</v>
      </c>
      <c r="J75" s="4">
        <v>45863</v>
      </c>
      <c r="K75" s="3" t="s">
        <v>305</v>
      </c>
      <c r="L75" s="3">
        <f>SUM(Sheet2!A75-F75)</f>
        <v>-2</v>
      </c>
      <c r="M75" s="3" t="s">
        <v>770</v>
      </c>
    </row>
    <row r="76" spans="1:13" x14ac:dyDescent="0.3">
      <c r="A76" s="3">
        <v>75</v>
      </c>
      <c r="B76" s="3" t="s">
        <v>306</v>
      </c>
      <c r="C76" s="3" t="s">
        <v>307</v>
      </c>
      <c r="D76" s="3">
        <v>120</v>
      </c>
      <c r="E76" s="3">
        <v>123</v>
      </c>
      <c r="F76" s="3">
        <v>120</v>
      </c>
      <c r="G76" s="3" t="s">
        <v>15</v>
      </c>
      <c r="H76" s="3" t="s">
        <v>16</v>
      </c>
      <c r="I76" s="3" t="s">
        <v>308</v>
      </c>
      <c r="J76" s="4">
        <v>45863</v>
      </c>
      <c r="K76" s="3" t="s">
        <v>309</v>
      </c>
      <c r="L76" s="3">
        <f>SUM(Sheet2!A76-F76)</f>
        <v>2</v>
      </c>
      <c r="M76" s="3" t="s">
        <v>771</v>
      </c>
    </row>
    <row r="77" spans="1:13" x14ac:dyDescent="0.3">
      <c r="A77" s="3">
        <v>76</v>
      </c>
      <c r="B77" s="3" t="s">
        <v>310</v>
      </c>
      <c r="C77" s="3" t="s">
        <v>311</v>
      </c>
      <c r="D77" s="3">
        <v>86</v>
      </c>
      <c r="E77" s="3">
        <v>85</v>
      </c>
      <c r="F77" s="3">
        <v>89</v>
      </c>
      <c r="G77" s="3" t="s">
        <v>15</v>
      </c>
      <c r="H77" s="3" t="s">
        <v>16</v>
      </c>
      <c r="I77" s="3" t="s">
        <v>312</v>
      </c>
      <c r="J77" s="4">
        <v>45863</v>
      </c>
      <c r="K77" s="3" t="s">
        <v>313</v>
      </c>
      <c r="L77" s="3">
        <f>SUM(Sheet2!A77-F77)</f>
        <v>1</v>
      </c>
      <c r="M77" s="3" t="s">
        <v>772</v>
      </c>
    </row>
    <row r="78" spans="1:13" x14ac:dyDescent="0.3">
      <c r="A78" s="3">
        <v>77</v>
      </c>
      <c r="B78" s="3" t="s">
        <v>314</v>
      </c>
      <c r="C78" s="3" t="s">
        <v>315</v>
      </c>
      <c r="D78" s="3">
        <v>60</v>
      </c>
      <c r="E78" s="3">
        <v>30</v>
      </c>
      <c r="F78" s="3">
        <v>45</v>
      </c>
      <c r="G78" s="3" t="s">
        <v>15</v>
      </c>
      <c r="H78" s="3" t="s">
        <v>16</v>
      </c>
      <c r="I78" s="3" t="s">
        <v>316</v>
      </c>
      <c r="J78" s="4">
        <v>45863</v>
      </c>
      <c r="K78" s="3" t="s">
        <v>317</v>
      </c>
      <c r="L78" s="3">
        <f>SUM(Sheet2!A78-F78)</f>
        <v>-4</v>
      </c>
      <c r="M78" s="3" t="s">
        <v>773</v>
      </c>
    </row>
    <row r="79" spans="1:13" x14ac:dyDescent="0.3">
      <c r="A79" s="3">
        <v>78</v>
      </c>
      <c r="B79" s="3" t="s">
        <v>318</v>
      </c>
      <c r="C79" s="3" t="s">
        <v>319</v>
      </c>
      <c r="D79" s="3">
        <v>70</v>
      </c>
      <c r="E79" s="3">
        <v>72</v>
      </c>
      <c r="F79" s="3">
        <v>72</v>
      </c>
      <c r="G79" s="3" t="s">
        <v>15</v>
      </c>
      <c r="H79" s="3" t="s">
        <v>29</v>
      </c>
      <c r="I79" s="3" t="s">
        <v>320</v>
      </c>
      <c r="J79" s="4">
        <v>45863</v>
      </c>
      <c r="K79" s="3" t="s">
        <v>321</v>
      </c>
      <c r="L79" s="3">
        <f>SUM(Sheet2!A79-F79)</f>
        <v>0</v>
      </c>
      <c r="M79" s="3" t="s">
        <v>774</v>
      </c>
    </row>
    <row r="80" spans="1:13" x14ac:dyDescent="0.3">
      <c r="A80" s="3">
        <v>79</v>
      </c>
      <c r="B80" s="3" t="s">
        <v>322</v>
      </c>
      <c r="C80" s="3" t="s">
        <v>323</v>
      </c>
      <c r="D80" s="3">
        <v>110</v>
      </c>
      <c r="E80" s="3">
        <v>112</v>
      </c>
      <c r="F80" s="3">
        <v>112</v>
      </c>
      <c r="G80" s="3" t="s">
        <v>163</v>
      </c>
      <c r="H80" s="3" t="s">
        <v>164</v>
      </c>
      <c r="I80" s="3" t="s">
        <v>324</v>
      </c>
      <c r="J80" s="4">
        <v>45863</v>
      </c>
      <c r="K80" s="3" t="s">
        <v>325</v>
      </c>
      <c r="L80" s="3">
        <f>SUM(Sheet2!A80-F80)</f>
        <v>0</v>
      </c>
      <c r="M80" s="3" t="s">
        <v>775</v>
      </c>
    </row>
    <row r="81" spans="1:13" x14ac:dyDescent="0.3">
      <c r="A81" s="3">
        <v>80</v>
      </c>
      <c r="B81" s="3" t="s">
        <v>326</v>
      </c>
      <c r="C81" s="3" t="s">
        <v>327</v>
      </c>
      <c r="D81" s="3">
        <v>318</v>
      </c>
      <c r="E81" s="3">
        <v>263</v>
      </c>
      <c r="F81" s="3">
        <v>290</v>
      </c>
      <c r="G81" s="3" t="s">
        <v>163</v>
      </c>
      <c r="H81" s="3" t="s">
        <v>164</v>
      </c>
      <c r="I81" s="3" t="s">
        <v>328</v>
      </c>
      <c r="J81" s="4">
        <v>45863</v>
      </c>
      <c r="K81" s="3" t="s">
        <v>329</v>
      </c>
      <c r="L81" s="3">
        <f>SUM(Sheet2!A81-F81)</f>
        <v>-4</v>
      </c>
      <c r="M81" s="3" t="s">
        <v>776</v>
      </c>
    </row>
    <row r="82" spans="1:13" x14ac:dyDescent="0.3">
      <c r="A82" s="3">
        <v>81</v>
      </c>
      <c r="B82" s="3" t="s">
        <v>330</v>
      </c>
      <c r="C82" s="3" t="s">
        <v>331</v>
      </c>
      <c r="D82" s="3">
        <v>308</v>
      </c>
      <c r="E82" s="3">
        <v>315</v>
      </c>
      <c r="F82" s="3">
        <v>312</v>
      </c>
      <c r="G82" s="3" t="s">
        <v>163</v>
      </c>
      <c r="H82" s="3" t="s">
        <v>164</v>
      </c>
      <c r="I82" s="3" t="s">
        <v>332</v>
      </c>
      <c r="J82" s="4">
        <v>45863</v>
      </c>
      <c r="K82" s="3" t="s">
        <v>330</v>
      </c>
      <c r="L82" s="3">
        <f>SUM(Sheet2!A82-F82)</f>
        <v>2</v>
      </c>
      <c r="M82" s="3" t="s">
        <v>777</v>
      </c>
    </row>
    <row r="83" spans="1:13" x14ac:dyDescent="0.3">
      <c r="A83" s="3">
        <v>82</v>
      </c>
      <c r="B83" s="3" t="s">
        <v>333</v>
      </c>
      <c r="C83" s="3" t="s">
        <v>334</v>
      </c>
      <c r="D83" s="3">
        <v>239</v>
      </c>
      <c r="E83" s="3">
        <v>254</v>
      </c>
      <c r="F83" s="3">
        <v>224</v>
      </c>
      <c r="G83" s="3" t="s">
        <v>163</v>
      </c>
      <c r="H83" s="3" t="s">
        <v>164</v>
      </c>
      <c r="I83" s="3" t="s">
        <v>335</v>
      </c>
      <c r="J83" s="4">
        <v>45863</v>
      </c>
      <c r="K83" s="3" t="s">
        <v>336</v>
      </c>
      <c r="L83" s="3">
        <f>SUM(Sheet2!A83-F83)</f>
        <v>0</v>
      </c>
      <c r="M83" s="3" t="s">
        <v>778</v>
      </c>
    </row>
    <row r="84" spans="1:13" x14ac:dyDescent="0.3">
      <c r="A84" s="3">
        <v>83</v>
      </c>
      <c r="B84" s="3" t="s">
        <v>337</v>
      </c>
      <c r="C84" s="3" t="s">
        <v>338</v>
      </c>
      <c r="D84" s="3">
        <v>404</v>
      </c>
      <c r="E84" s="3">
        <v>378</v>
      </c>
      <c r="F84" s="3">
        <v>389</v>
      </c>
      <c r="G84" s="3" t="s">
        <v>163</v>
      </c>
      <c r="H84" s="3" t="s">
        <v>164</v>
      </c>
      <c r="I84" s="3" t="s">
        <v>339</v>
      </c>
      <c r="J84" s="4">
        <v>45863</v>
      </c>
      <c r="K84" s="3" t="s">
        <v>326</v>
      </c>
      <c r="L84" s="3">
        <f>SUM(Sheet2!A84-F84)</f>
        <v>0</v>
      </c>
      <c r="M84" s="3" t="s">
        <v>779</v>
      </c>
    </row>
    <row r="85" spans="1:13" x14ac:dyDescent="0.3">
      <c r="A85" s="3">
        <v>84</v>
      </c>
      <c r="B85" s="3" t="s">
        <v>340</v>
      </c>
      <c r="C85" s="3" t="s">
        <v>341</v>
      </c>
      <c r="D85" s="3">
        <v>396</v>
      </c>
      <c r="E85" s="3">
        <v>379</v>
      </c>
      <c r="F85" s="3">
        <v>352</v>
      </c>
      <c r="G85" s="3" t="s">
        <v>163</v>
      </c>
      <c r="H85" s="3" t="s">
        <v>164</v>
      </c>
      <c r="I85" s="3" t="s">
        <v>342</v>
      </c>
      <c r="J85" s="4">
        <v>45863</v>
      </c>
      <c r="K85" s="3" t="s">
        <v>343</v>
      </c>
      <c r="L85" s="3">
        <f>SUM(Sheet2!A85-F85)</f>
        <v>0</v>
      </c>
      <c r="M85" s="3" t="s">
        <v>780</v>
      </c>
    </row>
    <row r="86" spans="1:13" x14ac:dyDescent="0.3">
      <c r="A86" s="3">
        <v>85</v>
      </c>
      <c r="B86" s="3" t="s">
        <v>344</v>
      </c>
      <c r="C86" s="3" t="s">
        <v>345</v>
      </c>
      <c r="D86" s="3">
        <v>204</v>
      </c>
      <c r="E86" s="3">
        <v>205</v>
      </c>
      <c r="F86" s="3">
        <v>224</v>
      </c>
      <c r="G86" s="3" t="s">
        <v>163</v>
      </c>
      <c r="H86" s="3" t="s">
        <v>164</v>
      </c>
      <c r="I86" s="3" t="s">
        <v>346</v>
      </c>
      <c r="J86" s="4">
        <v>45863</v>
      </c>
      <c r="K86" s="3" t="s">
        <v>347</v>
      </c>
      <c r="L86" s="3">
        <f>SUM(Sheet2!A86-F86)</f>
        <v>0</v>
      </c>
      <c r="M86" s="3" t="s">
        <v>781</v>
      </c>
    </row>
    <row r="87" spans="1:13" x14ac:dyDescent="0.3">
      <c r="A87" s="3">
        <v>86</v>
      </c>
      <c r="B87" s="3" t="s">
        <v>348</v>
      </c>
      <c r="C87" s="3" t="s">
        <v>349</v>
      </c>
      <c r="D87" s="3">
        <v>166</v>
      </c>
      <c r="E87" s="3">
        <v>164</v>
      </c>
      <c r="F87" s="3">
        <v>168</v>
      </c>
      <c r="G87" s="3" t="s">
        <v>163</v>
      </c>
      <c r="H87" s="3" t="s">
        <v>164</v>
      </c>
      <c r="I87" s="3" t="s">
        <v>350</v>
      </c>
      <c r="J87" s="4">
        <v>45863</v>
      </c>
      <c r="K87" s="3" t="s">
        <v>348</v>
      </c>
      <c r="L87" s="3">
        <f>SUM(Sheet2!A87-F87)</f>
        <v>0</v>
      </c>
      <c r="M87" s="3" t="s">
        <v>782</v>
      </c>
    </row>
    <row r="88" spans="1:13" x14ac:dyDescent="0.3">
      <c r="A88" s="3">
        <v>87</v>
      </c>
      <c r="B88" s="3" t="s">
        <v>351</v>
      </c>
      <c r="C88" s="3" t="s">
        <v>352</v>
      </c>
      <c r="D88" s="3">
        <v>183</v>
      </c>
      <c r="E88" s="3">
        <v>183</v>
      </c>
      <c r="F88" s="3">
        <v>183</v>
      </c>
      <c r="G88" s="3" t="s">
        <v>163</v>
      </c>
      <c r="H88" s="3" t="s">
        <v>164</v>
      </c>
      <c r="I88" s="3" t="s">
        <v>353</v>
      </c>
      <c r="J88" s="4">
        <v>45863</v>
      </c>
      <c r="K88" s="3" t="s">
        <v>354</v>
      </c>
      <c r="L88" s="3">
        <f>SUM(Sheet2!A88-F88)</f>
        <v>0</v>
      </c>
      <c r="M88" s="3" t="s">
        <v>783</v>
      </c>
    </row>
    <row r="89" spans="1:13" x14ac:dyDescent="0.3">
      <c r="A89" s="3">
        <v>88</v>
      </c>
      <c r="B89" s="3" t="s">
        <v>355</v>
      </c>
      <c r="C89" s="3" t="s">
        <v>356</v>
      </c>
      <c r="D89" s="3">
        <v>215</v>
      </c>
      <c r="E89" s="3">
        <v>175</v>
      </c>
      <c r="F89" s="3">
        <v>210</v>
      </c>
      <c r="G89" s="3" t="s">
        <v>163</v>
      </c>
      <c r="H89" s="3" t="s">
        <v>164</v>
      </c>
      <c r="I89" s="3" t="s">
        <v>357</v>
      </c>
      <c r="J89" s="4">
        <v>45863</v>
      </c>
      <c r="K89" s="3" t="s">
        <v>358</v>
      </c>
      <c r="L89" s="3">
        <f>SUM(Sheet2!A89-F89)</f>
        <v>0</v>
      </c>
      <c r="M89" s="3" t="s">
        <v>784</v>
      </c>
    </row>
    <row r="90" spans="1:13" x14ac:dyDescent="0.3">
      <c r="A90" s="3">
        <v>89</v>
      </c>
      <c r="B90" s="3" t="s">
        <v>359</v>
      </c>
      <c r="C90" s="3" t="s">
        <v>360</v>
      </c>
      <c r="D90" s="3">
        <v>261</v>
      </c>
      <c r="E90" s="3">
        <v>263</v>
      </c>
      <c r="F90" s="3">
        <v>263</v>
      </c>
      <c r="G90" s="3" t="s">
        <v>163</v>
      </c>
      <c r="H90" s="3" t="s">
        <v>164</v>
      </c>
      <c r="I90" s="3" t="s">
        <v>361</v>
      </c>
      <c r="J90" s="4">
        <v>45863</v>
      </c>
      <c r="K90" s="3" t="s">
        <v>347</v>
      </c>
      <c r="L90" s="3">
        <f>SUM(Sheet2!A90-F90)</f>
        <v>0</v>
      </c>
      <c r="M90" s="3" t="s">
        <v>785</v>
      </c>
    </row>
    <row r="91" spans="1:13" x14ac:dyDescent="0.3">
      <c r="A91" s="3">
        <v>90</v>
      </c>
      <c r="B91" s="3" t="s">
        <v>362</v>
      </c>
      <c r="C91" s="3" t="s">
        <v>363</v>
      </c>
      <c r="D91" s="3">
        <v>61</v>
      </c>
      <c r="E91" s="3">
        <v>61</v>
      </c>
      <c r="F91" s="3">
        <v>78</v>
      </c>
      <c r="G91" s="3" t="s">
        <v>163</v>
      </c>
      <c r="H91" s="3" t="s">
        <v>29</v>
      </c>
      <c r="I91" s="3" t="s">
        <v>364</v>
      </c>
      <c r="J91" s="4">
        <v>45863</v>
      </c>
      <c r="K91" s="3" t="s">
        <v>365</v>
      </c>
      <c r="L91" s="3">
        <f>SUM(Sheet2!A91-F91)</f>
        <v>0</v>
      </c>
      <c r="M91" s="3" t="s">
        <v>786</v>
      </c>
    </row>
    <row r="92" spans="1:13" x14ac:dyDescent="0.3">
      <c r="A92" s="3">
        <v>91</v>
      </c>
      <c r="B92" s="3" t="s">
        <v>366</v>
      </c>
      <c r="C92" s="3" t="s">
        <v>367</v>
      </c>
      <c r="D92" s="3">
        <v>345</v>
      </c>
      <c r="E92" s="3">
        <v>314</v>
      </c>
      <c r="F92" s="3">
        <v>362</v>
      </c>
      <c r="G92" s="3" t="s">
        <v>163</v>
      </c>
      <c r="H92" s="3" t="s">
        <v>164</v>
      </c>
      <c r="I92" s="3" t="s">
        <v>368</v>
      </c>
      <c r="J92" s="4">
        <v>45863</v>
      </c>
      <c r="K92" s="3" t="s">
        <v>369</v>
      </c>
      <c r="L92" s="3">
        <f>SUM(Sheet2!A92-F92)</f>
        <v>0</v>
      </c>
      <c r="M92" s="3" t="s">
        <v>787</v>
      </c>
    </row>
    <row r="93" spans="1:13" x14ac:dyDescent="0.3">
      <c r="A93" s="3">
        <v>92</v>
      </c>
      <c r="B93" s="3" t="s">
        <v>370</v>
      </c>
      <c r="C93" s="3" t="s">
        <v>371</v>
      </c>
      <c r="D93" s="3">
        <v>17</v>
      </c>
      <c r="E93" s="3">
        <v>18</v>
      </c>
      <c r="F93" s="3">
        <v>16</v>
      </c>
      <c r="G93" s="3" t="s">
        <v>163</v>
      </c>
      <c r="H93" s="3" t="s">
        <v>29</v>
      </c>
      <c r="I93" s="3" t="s">
        <v>372</v>
      </c>
      <c r="J93" s="4">
        <v>45863</v>
      </c>
      <c r="K93" s="3" t="s">
        <v>370</v>
      </c>
      <c r="L93" s="3">
        <f>SUM(Sheet2!A93-F93)</f>
        <v>0</v>
      </c>
      <c r="M93" s="3" t="s">
        <v>788</v>
      </c>
    </row>
    <row r="94" spans="1:13" x14ac:dyDescent="0.3">
      <c r="A94" s="3">
        <v>93</v>
      </c>
      <c r="B94" s="3" t="s">
        <v>373</v>
      </c>
      <c r="C94" s="3" t="s">
        <v>373</v>
      </c>
      <c r="D94" s="3">
        <v>94</v>
      </c>
      <c r="E94" s="3">
        <v>94</v>
      </c>
      <c r="F94" s="3">
        <v>94</v>
      </c>
      <c r="G94" s="3" t="s">
        <v>163</v>
      </c>
      <c r="H94" s="3" t="s">
        <v>16</v>
      </c>
      <c r="I94" s="3" t="s">
        <v>374</v>
      </c>
      <c r="J94" s="4">
        <v>45863</v>
      </c>
      <c r="K94" s="3" t="s">
        <v>375</v>
      </c>
      <c r="L94" s="3">
        <f>SUM(Sheet2!A94-F94)</f>
        <v>0</v>
      </c>
      <c r="M94" s="3" t="s">
        <v>789</v>
      </c>
    </row>
    <row r="95" spans="1:13" x14ac:dyDescent="0.3">
      <c r="A95" s="3">
        <v>94</v>
      </c>
      <c r="B95" s="3" t="s">
        <v>376</v>
      </c>
      <c r="C95" s="3" t="s">
        <v>377</v>
      </c>
      <c r="D95" s="3">
        <v>317</v>
      </c>
      <c r="E95" s="3">
        <v>300</v>
      </c>
      <c r="F95" s="3">
        <v>327</v>
      </c>
      <c r="G95" s="3" t="s">
        <v>163</v>
      </c>
      <c r="H95" s="3" t="s">
        <v>378</v>
      </c>
      <c r="I95" s="3" t="s">
        <v>379</v>
      </c>
      <c r="J95" s="4">
        <v>45863</v>
      </c>
      <c r="K95" s="3" t="s">
        <v>376</v>
      </c>
      <c r="L95" s="3">
        <f>SUM(Sheet2!A95-F95)</f>
        <v>0</v>
      </c>
      <c r="M95" s="3" t="s">
        <v>790</v>
      </c>
    </row>
    <row r="96" spans="1:13" x14ac:dyDescent="0.3">
      <c r="A96" s="3">
        <v>95</v>
      </c>
      <c r="B96" s="3" t="s">
        <v>380</v>
      </c>
      <c r="C96" s="3" t="s">
        <v>381</v>
      </c>
      <c r="D96" s="3">
        <v>331</v>
      </c>
      <c r="E96" s="3">
        <v>341</v>
      </c>
      <c r="F96" s="3">
        <v>358</v>
      </c>
      <c r="G96" s="3" t="s">
        <v>163</v>
      </c>
      <c r="H96" s="3" t="s">
        <v>16</v>
      </c>
      <c r="I96" s="3" t="s">
        <v>382</v>
      </c>
      <c r="J96" s="4">
        <v>45863</v>
      </c>
      <c r="K96" s="3" t="s">
        <v>383</v>
      </c>
      <c r="L96" s="3">
        <f>SUM(Sheet2!A96-F96)</f>
        <v>0</v>
      </c>
      <c r="M96" s="3" t="s">
        <v>791</v>
      </c>
    </row>
    <row r="97" spans="1:13" x14ac:dyDescent="0.3">
      <c r="A97" s="3">
        <v>96</v>
      </c>
      <c r="B97" s="3" t="s">
        <v>384</v>
      </c>
      <c r="C97" s="3" t="s">
        <v>385</v>
      </c>
      <c r="D97" s="3">
        <v>249</v>
      </c>
      <c r="E97" s="3">
        <v>215</v>
      </c>
      <c r="F97" s="3">
        <v>204</v>
      </c>
      <c r="G97" s="3" t="s">
        <v>163</v>
      </c>
      <c r="H97" s="3" t="s">
        <v>164</v>
      </c>
      <c r="I97" s="3" t="s">
        <v>386</v>
      </c>
      <c r="J97" s="4">
        <v>45863</v>
      </c>
      <c r="K97" s="3" t="s">
        <v>384</v>
      </c>
      <c r="L97" s="3">
        <f>SUM(Sheet2!A97-F97)</f>
        <v>0</v>
      </c>
      <c r="M97" s="3" t="s">
        <v>792</v>
      </c>
    </row>
    <row r="98" spans="1:13" x14ac:dyDescent="0.3">
      <c r="A98" s="3">
        <v>97</v>
      </c>
      <c r="B98" s="3" t="s">
        <v>387</v>
      </c>
      <c r="C98" s="3" t="s">
        <v>388</v>
      </c>
      <c r="D98" s="3">
        <v>362</v>
      </c>
      <c r="E98" s="3">
        <v>360</v>
      </c>
      <c r="F98" s="3">
        <v>364</v>
      </c>
      <c r="G98" s="3" t="s">
        <v>163</v>
      </c>
      <c r="H98" s="3" t="s">
        <v>164</v>
      </c>
      <c r="I98" s="3" t="s">
        <v>389</v>
      </c>
      <c r="J98" s="4">
        <v>45863</v>
      </c>
      <c r="K98" s="3" t="s">
        <v>387</v>
      </c>
      <c r="L98" s="3">
        <f>SUM(Sheet2!A98-F98)</f>
        <v>0</v>
      </c>
      <c r="M98" s="3" t="s">
        <v>793</v>
      </c>
    </row>
    <row r="99" spans="1:13" x14ac:dyDescent="0.3">
      <c r="A99" s="3">
        <v>98</v>
      </c>
      <c r="B99" s="3" t="s">
        <v>390</v>
      </c>
      <c r="C99" s="3" t="s">
        <v>391</v>
      </c>
      <c r="D99" s="3">
        <v>131</v>
      </c>
      <c r="E99" s="3">
        <v>131</v>
      </c>
      <c r="F99" s="3">
        <v>138</v>
      </c>
      <c r="G99" s="3" t="s">
        <v>163</v>
      </c>
      <c r="H99" s="3" t="s">
        <v>164</v>
      </c>
      <c r="I99" s="3" t="s">
        <v>392</v>
      </c>
      <c r="J99" s="4">
        <v>45863</v>
      </c>
      <c r="K99" s="3" t="s">
        <v>393</v>
      </c>
      <c r="L99" s="3">
        <f>SUM(Sheet2!A99-F99)</f>
        <v>0</v>
      </c>
      <c r="M99" s="3" t="s">
        <v>794</v>
      </c>
    </row>
    <row r="100" spans="1:13" x14ac:dyDescent="0.3">
      <c r="A100" s="3">
        <v>99</v>
      </c>
      <c r="B100" s="3" t="s">
        <v>394</v>
      </c>
      <c r="C100" s="3" t="s">
        <v>395</v>
      </c>
      <c r="D100" s="3">
        <v>166</v>
      </c>
      <c r="E100" s="3">
        <v>167</v>
      </c>
      <c r="F100" s="3">
        <v>177</v>
      </c>
      <c r="G100" s="3" t="s">
        <v>163</v>
      </c>
      <c r="H100" s="3" t="s">
        <v>164</v>
      </c>
      <c r="I100" s="3" t="s">
        <v>396</v>
      </c>
      <c r="J100" s="4">
        <v>45863</v>
      </c>
      <c r="K100" s="3" t="s">
        <v>397</v>
      </c>
      <c r="L100" s="3">
        <f>SUM(Sheet2!A100-F100)</f>
        <v>0</v>
      </c>
      <c r="M100" s="3" t="s">
        <v>795</v>
      </c>
    </row>
    <row r="101" spans="1:13" x14ac:dyDescent="0.3">
      <c r="A101" s="3">
        <v>100</v>
      </c>
      <c r="B101" s="3" t="s">
        <v>398</v>
      </c>
      <c r="C101" s="3" t="s">
        <v>399</v>
      </c>
      <c r="D101" s="3">
        <v>241</v>
      </c>
      <c r="E101" s="3">
        <v>233</v>
      </c>
      <c r="F101" s="3">
        <v>245</v>
      </c>
      <c r="G101" s="3" t="s">
        <v>163</v>
      </c>
      <c r="H101" s="3" t="s">
        <v>164</v>
      </c>
      <c r="I101" s="3" t="s">
        <v>400</v>
      </c>
      <c r="J101" s="4">
        <v>45863</v>
      </c>
      <c r="K101" s="3" t="s">
        <v>387</v>
      </c>
      <c r="L101" s="3">
        <f>SUM(Sheet2!A101-F101)</f>
        <v>0</v>
      </c>
      <c r="M101" s="3" t="s">
        <v>796</v>
      </c>
    </row>
    <row r="102" spans="1:13" x14ac:dyDescent="0.3">
      <c r="A102" s="3">
        <v>101</v>
      </c>
      <c r="B102" s="3" t="s">
        <v>401</v>
      </c>
      <c r="C102" s="3" t="s">
        <v>402</v>
      </c>
      <c r="D102" s="3">
        <v>90</v>
      </c>
      <c r="E102" s="3">
        <v>75</v>
      </c>
      <c r="F102" s="3">
        <v>82</v>
      </c>
      <c r="G102" s="3" t="s">
        <v>163</v>
      </c>
      <c r="H102" s="3" t="s">
        <v>403</v>
      </c>
      <c r="I102" s="3" t="s">
        <v>404</v>
      </c>
      <c r="J102" s="4">
        <v>45863</v>
      </c>
      <c r="K102" s="3" t="s">
        <v>405</v>
      </c>
      <c r="L102" s="3">
        <f>SUM(Sheet2!A102-F102)</f>
        <v>0</v>
      </c>
      <c r="M102" s="3" t="s">
        <v>797</v>
      </c>
    </row>
    <row r="103" spans="1:13" x14ac:dyDescent="0.3">
      <c r="A103" s="3">
        <v>102</v>
      </c>
      <c r="B103" s="3" t="s">
        <v>406</v>
      </c>
      <c r="C103" s="3" t="s">
        <v>407</v>
      </c>
      <c r="D103" s="3">
        <v>132</v>
      </c>
      <c r="E103" s="3">
        <v>132</v>
      </c>
      <c r="F103" s="3">
        <v>144</v>
      </c>
      <c r="G103" s="3" t="s">
        <v>15</v>
      </c>
      <c r="H103" s="3" t="s">
        <v>16</v>
      </c>
      <c r="I103" s="3" t="s">
        <v>408</v>
      </c>
      <c r="J103" s="4">
        <v>45863</v>
      </c>
      <c r="K103" s="3" t="s">
        <v>409</v>
      </c>
      <c r="L103" s="3">
        <f>SUM(Sheet2!A103-F103)</f>
        <v>0</v>
      </c>
      <c r="M103" s="3" t="s">
        <v>798</v>
      </c>
    </row>
    <row r="104" spans="1:13" x14ac:dyDescent="0.3">
      <c r="A104" s="3">
        <v>103</v>
      </c>
      <c r="B104" s="3" t="s">
        <v>410</v>
      </c>
      <c r="C104" s="3" t="s">
        <v>411</v>
      </c>
      <c r="D104" s="3">
        <v>205</v>
      </c>
      <c r="E104" s="3">
        <v>205</v>
      </c>
      <c r="F104" s="3">
        <v>205</v>
      </c>
      <c r="G104" s="3" t="s">
        <v>15</v>
      </c>
      <c r="H104" s="3" t="s">
        <v>16</v>
      </c>
      <c r="I104" s="3" t="s">
        <v>412</v>
      </c>
      <c r="J104" s="4">
        <v>45863</v>
      </c>
      <c r="K104" s="3" t="s">
        <v>413</v>
      </c>
      <c r="L104" s="3">
        <f>SUM(Sheet2!A104-F104)</f>
        <v>0</v>
      </c>
      <c r="M104" s="3" t="s">
        <v>799</v>
      </c>
    </row>
    <row r="105" spans="1:13" x14ac:dyDescent="0.3">
      <c r="A105" s="3">
        <v>104</v>
      </c>
      <c r="B105" s="3" t="s">
        <v>414</v>
      </c>
      <c r="C105" s="3" t="s">
        <v>415</v>
      </c>
      <c r="D105" s="3">
        <v>367</v>
      </c>
      <c r="E105" s="3">
        <v>368</v>
      </c>
      <c r="F105" s="3">
        <v>372</v>
      </c>
      <c r="G105" s="3" t="s">
        <v>163</v>
      </c>
      <c r="H105" s="3" t="s">
        <v>164</v>
      </c>
      <c r="I105" s="3" t="s">
        <v>416</v>
      </c>
      <c r="J105" s="4">
        <v>45863</v>
      </c>
      <c r="K105" s="3" t="s">
        <v>414</v>
      </c>
      <c r="L105" s="3">
        <f>SUM(Sheet2!A105-F105)</f>
        <v>0</v>
      </c>
      <c r="M105" s="3" t="s">
        <v>800</v>
      </c>
    </row>
    <row r="106" spans="1:13" x14ac:dyDescent="0.3">
      <c r="A106" s="3">
        <v>105</v>
      </c>
      <c r="B106" s="3" t="s">
        <v>417</v>
      </c>
      <c r="C106" s="3" t="s">
        <v>418</v>
      </c>
      <c r="D106" s="3">
        <v>157</v>
      </c>
      <c r="E106" s="3">
        <v>131</v>
      </c>
      <c r="F106" s="3">
        <v>157</v>
      </c>
      <c r="G106" s="3" t="s">
        <v>15</v>
      </c>
      <c r="H106" s="3" t="s">
        <v>16</v>
      </c>
      <c r="I106" s="3" t="s">
        <v>419</v>
      </c>
      <c r="J106" s="4">
        <v>45863</v>
      </c>
      <c r="K106" s="3" t="s">
        <v>420</v>
      </c>
      <c r="L106" s="3">
        <f>SUM(Sheet2!A106-F106)</f>
        <v>0</v>
      </c>
      <c r="M106" s="3" t="s">
        <v>801</v>
      </c>
    </row>
    <row r="107" spans="1:13" x14ac:dyDescent="0.3">
      <c r="A107" s="3">
        <v>106</v>
      </c>
      <c r="B107" s="3" t="s">
        <v>421</v>
      </c>
      <c r="C107" s="3" t="s">
        <v>422</v>
      </c>
      <c r="D107" s="3">
        <v>76</v>
      </c>
      <c r="E107" s="3">
        <v>76</v>
      </c>
      <c r="F107" s="3">
        <v>76</v>
      </c>
      <c r="G107" s="3" t="s">
        <v>15</v>
      </c>
      <c r="H107" s="3" t="s">
        <v>16</v>
      </c>
      <c r="I107" s="3" t="s">
        <v>423</v>
      </c>
      <c r="J107" s="4">
        <v>45863</v>
      </c>
      <c r="K107" s="3" t="s">
        <v>424</v>
      </c>
      <c r="L107" s="3">
        <f>SUM(Sheet2!A107-F107)</f>
        <v>0</v>
      </c>
      <c r="M107" s="3" t="s">
        <v>802</v>
      </c>
    </row>
    <row r="108" spans="1:13" x14ac:dyDescent="0.3">
      <c r="A108" s="3">
        <v>107</v>
      </c>
      <c r="B108" s="3" t="s">
        <v>425</v>
      </c>
      <c r="C108" s="3" t="s">
        <v>426</v>
      </c>
      <c r="D108" s="3">
        <v>93</v>
      </c>
      <c r="E108" s="3">
        <v>93</v>
      </c>
      <c r="F108" s="3">
        <v>93</v>
      </c>
      <c r="G108" s="3" t="s">
        <v>15</v>
      </c>
      <c r="H108" s="3" t="s">
        <v>16</v>
      </c>
      <c r="I108" s="3" t="s">
        <v>427</v>
      </c>
      <c r="J108" s="4">
        <v>45863</v>
      </c>
      <c r="K108" s="3" t="s">
        <v>428</v>
      </c>
      <c r="L108" s="3">
        <f>SUM(Sheet2!A108-F108)</f>
        <v>0</v>
      </c>
      <c r="M108" s="3" t="s">
        <v>803</v>
      </c>
    </row>
    <row r="109" spans="1:13" x14ac:dyDescent="0.3">
      <c r="A109" s="3">
        <v>108</v>
      </c>
      <c r="B109" s="3" t="s">
        <v>425</v>
      </c>
      <c r="C109" s="3" t="s">
        <v>429</v>
      </c>
      <c r="D109" s="3">
        <v>133</v>
      </c>
      <c r="E109" s="3">
        <v>133</v>
      </c>
      <c r="F109" s="3">
        <v>133</v>
      </c>
      <c r="G109" s="3" t="s">
        <v>163</v>
      </c>
      <c r="H109" s="3" t="s">
        <v>164</v>
      </c>
      <c r="I109" s="3" t="s">
        <v>430</v>
      </c>
      <c r="J109" s="4">
        <v>45863</v>
      </c>
      <c r="K109" s="3" t="s">
        <v>431</v>
      </c>
      <c r="L109" s="3">
        <f>SUM(Sheet2!A109-F109)</f>
        <v>0</v>
      </c>
      <c r="M109" s="3" t="s">
        <v>804</v>
      </c>
    </row>
    <row r="110" spans="1:13" x14ac:dyDescent="0.3">
      <c r="A110" s="3">
        <v>109</v>
      </c>
      <c r="B110" s="3" t="s">
        <v>432</v>
      </c>
      <c r="C110" s="3" t="s">
        <v>433</v>
      </c>
      <c r="D110" s="3">
        <v>244</v>
      </c>
      <c r="E110" s="3">
        <v>215</v>
      </c>
      <c r="F110" s="3">
        <v>247</v>
      </c>
      <c r="G110" s="3" t="s">
        <v>163</v>
      </c>
      <c r="H110" s="3" t="s">
        <v>164</v>
      </c>
      <c r="I110" s="3" t="s">
        <v>434</v>
      </c>
      <c r="J110" s="4">
        <v>45863</v>
      </c>
      <c r="K110" s="3" t="s">
        <v>435</v>
      </c>
      <c r="L110" s="3">
        <f>SUM(Sheet2!A110-F110)</f>
        <v>0</v>
      </c>
      <c r="M110" s="3" t="s">
        <v>805</v>
      </c>
    </row>
    <row r="111" spans="1:13" x14ac:dyDescent="0.3">
      <c r="A111" s="3">
        <v>110</v>
      </c>
      <c r="B111" s="3" t="s">
        <v>436</v>
      </c>
      <c r="C111" s="3" t="s">
        <v>437</v>
      </c>
      <c r="D111" s="3">
        <v>365</v>
      </c>
      <c r="E111" s="3">
        <v>365</v>
      </c>
      <c r="F111" s="3">
        <v>365</v>
      </c>
      <c r="G111" s="3" t="s">
        <v>15</v>
      </c>
      <c r="H111" s="3" t="s">
        <v>16</v>
      </c>
      <c r="I111" s="3" t="s">
        <v>438</v>
      </c>
      <c r="J111" s="4">
        <v>45863</v>
      </c>
      <c r="K111" s="3" t="s">
        <v>439</v>
      </c>
      <c r="L111" s="3">
        <f>SUM(Sheet2!A111-F111)</f>
        <v>0</v>
      </c>
      <c r="M111" s="3" t="s">
        <v>806</v>
      </c>
    </row>
    <row r="112" spans="1:13" x14ac:dyDescent="0.3">
      <c r="A112" s="3">
        <v>111</v>
      </c>
      <c r="B112" s="3" t="s">
        <v>440</v>
      </c>
      <c r="C112" s="3" t="s">
        <v>441</v>
      </c>
      <c r="D112" s="3">
        <v>330</v>
      </c>
      <c r="E112" s="3">
        <v>300</v>
      </c>
      <c r="F112" s="3">
        <v>278</v>
      </c>
      <c r="G112" s="3" t="s">
        <v>15</v>
      </c>
      <c r="H112" s="3" t="s">
        <v>29</v>
      </c>
      <c r="I112" s="3" t="s">
        <v>442</v>
      </c>
      <c r="J112" s="4">
        <v>45863</v>
      </c>
      <c r="K112" s="3" t="s">
        <v>443</v>
      </c>
      <c r="L112" s="3">
        <f>SUM(Sheet2!A112-F112)</f>
        <v>0</v>
      </c>
      <c r="M112" s="3" t="s">
        <v>807</v>
      </c>
    </row>
    <row r="113" spans="1:13" x14ac:dyDescent="0.3">
      <c r="A113" s="3">
        <v>112</v>
      </c>
      <c r="B113" s="3" t="s">
        <v>444</v>
      </c>
      <c r="C113" s="3" t="s">
        <v>445</v>
      </c>
      <c r="D113" s="3">
        <v>248</v>
      </c>
      <c r="E113" s="3">
        <v>248</v>
      </c>
      <c r="F113" s="3">
        <v>237</v>
      </c>
      <c r="G113" s="3" t="s">
        <v>15</v>
      </c>
      <c r="H113" s="3" t="s">
        <v>29</v>
      </c>
      <c r="I113" s="3" t="s">
        <v>446</v>
      </c>
      <c r="J113" s="4">
        <v>45863</v>
      </c>
      <c r="K113" s="3" t="s">
        <v>447</v>
      </c>
      <c r="L113" s="3">
        <f>SUM(Sheet2!A113-F113)</f>
        <v>0</v>
      </c>
      <c r="M113" s="3" t="s">
        <v>808</v>
      </c>
    </row>
    <row r="114" spans="1:13" x14ac:dyDescent="0.3">
      <c r="A114" s="3">
        <v>113</v>
      </c>
      <c r="B114" s="3" t="s">
        <v>448</v>
      </c>
      <c r="C114" s="3" t="s">
        <v>449</v>
      </c>
      <c r="D114" s="3">
        <v>179</v>
      </c>
      <c r="E114" s="3">
        <v>179</v>
      </c>
      <c r="F114" s="3">
        <v>142</v>
      </c>
      <c r="G114" s="3" t="s">
        <v>15</v>
      </c>
      <c r="H114" s="3" t="s">
        <v>16</v>
      </c>
      <c r="I114" s="3" t="s">
        <v>450</v>
      </c>
      <c r="J114" s="4">
        <v>45863</v>
      </c>
      <c r="K114" s="3" t="s">
        <v>451</v>
      </c>
      <c r="L114" s="3">
        <f>SUM(Sheet2!A114-F114)</f>
        <v>0</v>
      </c>
      <c r="M114" s="3" t="s">
        <v>809</v>
      </c>
    </row>
    <row r="115" spans="1:13" x14ac:dyDescent="0.3">
      <c r="A115" s="3">
        <v>114</v>
      </c>
      <c r="B115" s="3" t="s">
        <v>452</v>
      </c>
      <c r="C115" s="3" t="s">
        <v>453</v>
      </c>
      <c r="D115" s="3">
        <v>52</v>
      </c>
      <c r="E115" s="3">
        <v>50</v>
      </c>
      <c r="F115" s="3">
        <v>51</v>
      </c>
      <c r="G115" s="3" t="s">
        <v>15</v>
      </c>
      <c r="H115" s="3" t="s">
        <v>16</v>
      </c>
      <c r="I115" s="3" t="s">
        <v>454</v>
      </c>
      <c r="J115" s="4">
        <v>45863</v>
      </c>
      <c r="K115" s="3" t="s">
        <v>455</v>
      </c>
      <c r="L115" s="3">
        <f>SUM(Sheet2!A115-F115)</f>
        <v>0</v>
      </c>
      <c r="M115" s="3" t="s">
        <v>810</v>
      </c>
    </row>
    <row r="116" spans="1:13" x14ac:dyDescent="0.3">
      <c r="A116" s="3">
        <v>115</v>
      </c>
      <c r="B116" s="3" t="s">
        <v>456</v>
      </c>
      <c r="C116" s="3" t="s">
        <v>457</v>
      </c>
      <c r="D116" s="3">
        <v>509</v>
      </c>
      <c r="E116" s="3">
        <v>439</v>
      </c>
      <c r="F116" s="3">
        <v>445</v>
      </c>
      <c r="G116" s="3" t="s">
        <v>163</v>
      </c>
      <c r="H116" s="3" t="s">
        <v>164</v>
      </c>
      <c r="I116" s="3" t="s">
        <v>458</v>
      </c>
      <c r="J116" s="4">
        <v>45863</v>
      </c>
      <c r="K116" s="3" t="s">
        <v>459</v>
      </c>
      <c r="L116" s="3">
        <f>SUM(Sheet2!A116-F116)</f>
        <v>0</v>
      </c>
      <c r="M116" s="3" t="s">
        <v>811</v>
      </c>
    </row>
    <row r="117" spans="1:13" x14ac:dyDescent="0.3">
      <c r="A117" s="3">
        <v>116</v>
      </c>
      <c r="B117" s="3" t="s">
        <v>460</v>
      </c>
      <c r="C117" s="3" t="s">
        <v>461</v>
      </c>
      <c r="D117" s="3">
        <v>155</v>
      </c>
      <c r="E117" s="3">
        <v>153</v>
      </c>
      <c r="F117" s="3">
        <v>157</v>
      </c>
      <c r="G117" s="3" t="s">
        <v>15</v>
      </c>
      <c r="H117" s="3" t="s">
        <v>16</v>
      </c>
      <c r="I117" s="3" t="s">
        <v>462</v>
      </c>
      <c r="J117" s="4">
        <v>45863</v>
      </c>
      <c r="K117" s="3" t="s">
        <v>463</v>
      </c>
      <c r="L117" s="3">
        <f>SUM(Sheet2!A117-F117)</f>
        <v>0</v>
      </c>
      <c r="M117" s="3" t="s">
        <v>812</v>
      </c>
    </row>
    <row r="118" spans="1:13" x14ac:dyDescent="0.3">
      <c r="A118" s="3">
        <v>117</v>
      </c>
      <c r="B118" s="3" t="s">
        <v>464</v>
      </c>
      <c r="C118" s="3" t="s">
        <v>465</v>
      </c>
      <c r="D118" s="3">
        <v>690</v>
      </c>
      <c r="E118" s="3">
        <v>658</v>
      </c>
      <c r="F118" s="3">
        <v>764</v>
      </c>
      <c r="G118" s="3" t="s">
        <v>163</v>
      </c>
      <c r="H118" s="3" t="s">
        <v>164</v>
      </c>
      <c r="I118" s="3" t="s">
        <v>466</v>
      </c>
      <c r="J118" s="4">
        <v>45863</v>
      </c>
      <c r="K118" s="3" t="s">
        <v>467</v>
      </c>
      <c r="L118" s="3">
        <f>SUM(Sheet2!A118-F118)</f>
        <v>0</v>
      </c>
      <c r="M118" s="3" t="s">
        <v>813</v>
      </c>
    </row>
    <row r="119" spans="1:13" x14ac:dyDescent="0.3">
      <c r="A119" s="3">
        <v>118</v>
      </c>
      <c r="B119" s="3" t="s">
        <v>468</v>
      </c>
      <c r="C119" s="3" t="s">
        <v>469</v>
      </c>
      <c r="D119" s="3">
        <v>160</v>
      </c>
      <c r="E119" s="3">
        <v>170</v>
      </c>
      <c r="F119" s="3">
        <v>175</v>
      </c>
      <c r="G119" s="3" t="s">
        <v>15</v>
      </c>
      <c r="H119" s="3" t="s">
        <v>16</v>
      </c>
      <c r="I119" s="3" t="s">
        <v>470</v>
      </c>
      <c r="J119" s="4">
        <v>45863</v>
      </c>
      <c r="K119" s="3" t="s">
        <v>447</v>
      </c>
      <c r="L119" s="3">
        <f>SUM(Sheet2!A119-F119)</f>
        <v>0</v>
      </c>
      <c r="M119" s="3" t="s">
        <v>814</v>
      </c>
    </row>
    <row r="120" spans="1:13" x14ac:dyDescent="0.3">
      <c r="A120" s="3">
        <v>119</v>
      </c>
      <c r="B120" s="3" t="s">
        <v>471</v>
      </c>
      <c r="C120" s="3" t="s">
        <v>472</v>
      </c>
      <c r="D120" s="3">
        <v>527</v>
      </c>
      <c r="E120" s="3">
        <v>500</v>
      </c>
      <c r="F120" s="3">
        <v>482</v>
      </c>
      <c r="G120" s="3" t="s">
        <v>163</v>
      </c>
      <c r="H120" s="3" t="s">
        <v>164</v>
      </c>
      <c r="I120" s="3" t="s">
        <v>473</v>
      </c>
      <c r="J120" s="4">
        <v>45863</v>
      </c>
      <c r="K120" s="3" t="s">
        <v>330</v>
      </c>
      <c r="L120" s="3">
        <f>SUM(Sheet2!A120-F120)</f>
        <v>0</v>
      </c>
      <c r="M120" s="3" t="s">
        <v>815</v>
      </c>
    </row>
    <row r="121" spans="1:13" x14ac:dyDescent="0.3">
      <c r="A121" s="3">
        <v>120</v>
      </c>
      <c r="B121" s="3" t="s">
        <v>474</v>
      </c>
      <c r="C121" s="3" t="s">
        <v>475</v>
      </c>
      <c r="D121" s="3">
        <v>725</v>
      </c>
      <c r="E121" s="3">
        <v>580</v>
      </c>
      <c r="F121" s="3">
        <v>747</v>
      </c>
      <c r="G121" s="3" t="s">
        <v>163</v>
      </c>
      <c r="H121" s="3" t="s">
        <v>164</v>
      </c>
      <c r="I121" s="3" t="s">
        <v>476</v>
      </c>
      <c r="J121" s="4">
        <v>45863</v>
      </c>
      <c r="K121" s="3" t="s">
        <v>477</v>
      </c>
      <c r="L121" s="3">
        <f>SUM(Sheet2!A121-F121)</f>
        <v>0</v>
      </c>
      <c r="M121" s="3" t="s">
        <v>816</v>
      </c>
    </row>
    <row r="122" spans="1:13" x14ac:dyDescent="0.3">
      <c r="A122" s="3">
        <v>121</v>
      </c>
      <c r="B122" s="3" t="s">
        <v>478</v>
      </c>
      <c r="C122" s="3" t="s">
        <v>479</v>
      </c>
      <c r="D122" s="3">
        <v>60</v>
      </c>
      <c r="E122" s="3">
        <v>60</v>
      </c>
      <c r="F122" s="3">
        <v>62</v>
      </c>
      <c r="G122" s="3" t="s">
        <v>15</v>
      </c>
      <c r="H122" s="3" t="s">
        <v>16</v>
      </c>
      <c r="I122" s="3" t="s">
        <v>480</v>
      </c>
      <c r="J122" s="4">
        <v>45863</v>
      </c>
      <c r="K122" s="3" t="s">
        <v>481</v>
      </c>
      <c r="L122" s="3">
        <f>SUM(Sheet2!A122-F122)</f>
        <v>0</v>
      </c>
      <c r="M122" s="3" t="s">
        <v>817</v>
      </c>
    </row>
    <row r="123" spans="1:13" x14ac:dyDescent="0.3">
      <c r="A123" s="3">
        <v>122</v>
      </c>
      <c r="B123" s="3" t="s">
        <v>482</v>
      </c>
      <c r="C123" s="3" t="s">
        <v>483</v>
      </c>
      <c r="D123" s="3">
        <v>391</v>
      </c>
      <c r="E123" s="3">
        <v>386</v>
      </c>
      <c r="F123" s="3">
        <v>385</v>
      </c>
      <c r="G123" s="3" t="s">
        <v>163</v>
      </c>
      <c r="H123" s="3" t="s">
        <v>164</v>
      </c>
      <c r="I123" s="3" t="s">
        <v>484</v>
      </c>
      <c r="J123" s="4">
        <v>45863</v>
      </c>
      <c r="K123" s="3" t="s">
        <v>485</v>
      </c>
      <c r="L123" s="3">
        <f>SUM(Sheet2!A123-F123)</f>
        <v>0</v>
      </c>
      <c r="M123" s="3" t="s">
        <v>818</v>
      </c>
    </row>
    <row r="124" spans="1:13" x14ac:dyDescent="0.3">
      <c r="A124" s="3">
        <v>123</v>
      </c>
      <c r="B124" s="3" t="s">
        <v>486</v>
      </c>
      <c r="C124" s="3" t="s">
        <v>487</v>
      </c>
      <c r="D124" s="3">
        <v>597</v>
      </c>
      <c r="E124" s="3">
        <v>598</v>
      </c>
      <c r="F124" s="3">
        <v>569</v>
      </c>
      <c r="G124" s="3" t="s">
        <v>163</v>
      </c>
      <c r="H124" s="3" t="s">
        <v>164</v>
      </c>
      <c r="I124" s="3" t="s">
        <v>488</v>
      </c>
      <c r="J124" s="4">
        <v>45863</v>
      </c>
      <c r="K124" s="3" t="s">
        <v>369</v>
      </c>
      <c r="L124" s="3">
        <f>SUM(Sheet2!A124-F124)</f>
        <v>0</v>
      </c>
      <c r="M124" s="3" t="s">
        <v>819</v>
      </c>
    </row>
    <row r="125" spans="1:13" x14ac:dyDescent="0.3">
      <c r="A125" s="3">
        <v>124</v>
      </c>
      <c r="B125" s="3" t="s">
        <v>489</v>
      </c>
      <c r="C125" s="3" t="s">
        <v>490</v>
      </c>
      <c r="D125" s="3">
        <v>427</v>
      </c>
      <c r="E125" s="3">
        <v>425</v>
      </c>
      <c r="F125" s="3">
        <v>417</v>
      </c>
      <c r="G125" s="3" t="s">
        <v>163</v>
      </c>
      <c r="H125" s="3" t="s">
        <v>164</v>
      </c>
      <c r="I125" s="3" t="s">
        <v>491</v>
      </c>
      <c r="J125" s="4">
        <v>45863</v>
      </c>
      <c r="K125" s="3" t="s">
        <v>492</v>
      </c>
      <c r="L125" s="3">
        <f>SUM(Sheet2!A125-F125)</f>
        <v>0</v>
      </c>
      <c r="M125" s="3" t="s">
        <v>820</v>
      </c>
    </row>
    <row r="126" spans="1:13" x14ac:dyDescent="0.3">
      <c r="A126" s="3">
        <v>125</v>
      </c>
      <c r="B126" s="3" t="s">
        <v>493</v>
      </c>
      <c r="C126" s="3" t="s">
        <v>494</v>
      </c>
      <c r="D126" s="3">
        <v>361</v>
      </c>
      <c r="E126" s="3">
        <v>364</v>
      </c>
      <c r="F126" s="3">
        <v>316</v>
      </c>
      <c r="G126" s="3" t="s">
        <v>163</v>
      </c>
      <c r="H126" s="3" t="s">
        <v>164</v>
      </c>
      <c r="I126" s="3" t="s">
        <v>495</v>
      </c>
      <c r="J126" s="4">
        <v>45863</v>
      </c>
      <c r="K126" s="3" t="s">
        <v>496</v>
      </c>
      <c r="L126" s="3">
        <f>SUM(Sheet2!A126-F126)</f>
        <v>0</v>
      </c>
      <c r="M126" s="3" t="s">
        <v>821</v>
      </c>
    </row>
    <row r="127" spans="1:13" x14ac:dyDescent="0.3">
      <c r="A127" s="3">
        <v>126</v>
      </c>
      <c r="B127" s="3" t="s">
        <v>497</v>
      </c>
      <c r="C127" s="3" t="s">
        <v>498</v>
      </c>
      <c r="D127" s="3">
        <v>304</v>
      </c>
      <c r="E127" s="3">
        <v>306</v>
      </c>
      <c r="F127" s="3">
        <v>300</v>
      </c>
      <c r="G127" s="3" t="s">
        <v>163</v>
      </c>
      <c r="H127" s="3" t="s">
        <v>164</v>
      </c>
      <c r="I127" s="3" t="s">
        <v>499</v>
      </c>
      <c r="J127" s="4">
        <v>45863</v>
      </c>
      <c r="K127" s="3" t="s">
        <v>347</v>
      </c>
      <c r="L127" s="3">
        <f>SUM(Sheet2!A127-F127)</f>
        <v>0</v>
      </c>
      <c r="M127" s="3" t="s">
        <v>822</v>
      </c>
    </row>
    <row r="128" spans="1:13" x14ac:dyDescent="0.3">
      <c r="A128" s="3">
        <v>127</v>
      </c>
      <c r="B128" s="3" t="s">
        <v>500</v>
      </c>
      <c r="C128" s="3" t="s">
        <v>501</v>
      </c>
      <c r="D128" s="3">
        <v>744</v>
      </c>
      <c r="E128" s="3">
        <v>675</v>
      </c>
      <c r="F128" s="3">
        <v>645</v>
      </c>
      <c r="G128" s="3" t="s">
        <v>163</v>
      </c>
      <c r="H128" s="3" t="s">
        <v>164</v>
      </c>
      <c r="I128" s="3" t="s">
        <v>502</v>
      </c>
      <c r="J128" s="4">
        <v>45863</v>
      </c>
      <c r="K128" s="3" t="s">
        <v>369</v>
      </c>
      <c r="L128" s="3">
        <f>SUM(Sheet2!A128-F128)</f>
        <v>0</v>
      </c>
      <c r="M128" s="3" t="s">
        <v>823</v>
      </c>
    </row>
    <row r="129" spans="1:13" x14ac:dyDescent="0.3">
      <c r="A129" s="3">
        <v>128</v>
      </c>
      <c r="B129" s="3" t="s">
        <v>503</v>
      </c>
      <c r="C129" s="3" t="s">
        <v>504</v>
      </c>
      <c r="D129" s="3">
        <v>70</v>
      </c>
      <c r="E129" s="3">
        <v>60</v>
      </c>
      <c r="F129" s="3">
        <v>64</v>
      </c>
      <c r="G129" s="3" t="s">
        <v>15</v>
      </c>
      <c r="H129" s="3" t="s">
        <v>29</v>
      </c>
      <c r="I129" s="3" t="s">
        <v>505</v>
      </c>
      <c r="J129" s="4">
        <v>45863</v>
      </c>
      <c r="K129" s="3" t="s">
        <v>506</v>
      </c>
      <c r="L129" s="3">
        <f>SUM(Sheet2!A129-F129)</f>
        <v>0</v>
      </c>
      <c r="M129" s="3" t="s">
        <v>824</v>
      </c>
    </row>
    <row r="130" spans="1:13" x14ac:dyDescent="0.3">
      <c r="A130" s="3">
        <v>129</v>
      </c>
      <c r="B130" s="3" t="s">
        <v>425</v>
      </c>
      <c r="C130" s="3" t="s">
        <v>426</v>
      </c>
      <c r="D130" s="3">
        <v>93</v>
      </c>
      <c r="E130" s="3">
        <v>93</v>
      </c>
      <c r="F130" s="3">
        <v>187</v>
      </c>
      <c r="G130" s="3" t="s">
        <v>15</v>
      </c>
      <c r="H130" s="3" t="s">
        <v>16</v>
      </c>
      <c r="I130" s="3" t="s">
        <v>507</v>
      </c>
      <c r="J130" s="4">
        <v>45863</v>
      </c>
      <c r="K130" s="3" t="s">
        <v>428</v>
      </c>
      <c r="L130" s="3">
        <f>SUM(Sheet2!A130-F130)</f>
        <v>0</v>
      </c>
      <c r="M130" s="3" t="s">
        <v>825</v>
      </c>
    </row>
    <row r="131" spans="1:13" x14ac:dyDescent="0.3">
      <c r="A131" s="3">
        <v>130</v>
      </c>
      <c r="B131" s="3" t="s">
        <v>508</v>
      </c>
      <c r="C131" s="3" t="s">
        <v>509</v>
      </c>
      <c r="D131" s="3">
        <v>294</v>
      </c>
      <c r="E131" s="3">
        <v>280</v>
      </c>
      <c r="F131" s="3">
        <v>222</v>
      </c>
      <c r="G131" s="3" t="s">
        <v>163</v>
      </c>
      <c r="H131" s="3" t="s">
        <v>164</v>
      </c>
      <c r="I131" s="3" t="s">
        <v>510</v>
      </c>
      <c r="J131" s="4">
        <v>45863</v>
      </c>
      <c r="K131" s="3" t="s">
        <v>511</v>
      </c>
      <c r="L131" s="3">
        <f>SUM(Sheet2!A131-F131)</f>
        <v>0</v>
      </c>
      <c r="M131" s="3" t="s">
        <v>826</v>
      </c>
    </row>
    <row r="132" spans="1:13" x14ac:dyDescent="0.3">
      <c r="A132" s="3">
        <v>131</v>
      </c>
      <c r="B132" s="3" t="s">
        <v>512</v>
      </c>
      <c r="C132" s="3" t="s">
        <v>513</v>
      </c>
      <c r="D132" s="3">
        <v>340</v>
      </c>
      <c r="E132" s="3">
        <v>340</v>
      </c>
      <c r="F132" s="3">
        <v>216</v>
      </c>
      <c r="G132" s="3" t="s">
        <v>163</v>
      </c>
      <c r="H132" s="3" t="s">
        <v>164</v>
      </c>
      <c r="I132" s="3" t="s">
        <v>514</v>
      </c>
      <c r="J132" s="4">
        <v>45863</v>
      </c>
      <c r="K132" s="3" t="s">
        <v>515</v>
      </c>
      <c r="L132" s="3">
        <f>SUM(Sheet2!A132-F132)</f>
        <v>0</v>
      </c>
      <c r="M132" s="3" t="s">
        <v>827</v>
      </c>
    </row>
    <row r="133" spans="1:13" x14ac:dyDescent="0.3">
      <c r="A133" s="3">
        <v>132</v>
      </c>
      <c r="B133" s="3" t="s">
        <v>516</v>
      </c>
      <c r="C133" s="3" t="s">
        <v>517</v>
      </c>
      <c r="D133" s="3">
        <v>792</v>
      </c>
      <c r="E133" s="3">
        <v>790</v>
      </c>
      <c r="F133" s="3">
        <v>782</v>
      </c>
      <c r="G133" s="3" t="s">
        <v>163</v>
      </c>
      <c r="H133" s="3" t="s">
        <v>164</v>
      </c>
      <c r="I133" s="3" t="s">
        <v>518</v>
      </c>
      <c r="J133" s="4">
        <v>45863</v>
      </c>
      <c r="K133" s="3" t="s">
        <v>519</v>
      </c>
      <c r="L133" s="3">
        <f>SUM(Sheet2!A133-F133)</f>
        <v>0</v>
      </c>
      <c r="M133" s="3" t="s">
        <v>828</v>
      </c>
    </row>
    <row r="134" spans="1:13" x14ac:dyDescent="0.3">
      <c r="A134" s="3">
        <v>133</v>
      </c>
      <c r="B134" s="3" t="s">
        <v>520</v>
      </c>
      <c r="C134" s="3" t="s">
        <v>521</v>
      </c>
      <c r="D134" s="3">
        <v>415</v>
      </c>
      <c r="E134" s="3">
        <v>374</v>
      </c>
      <c r="F134" s="3">
        <v>399</v>
      </c>
      <c r="G134" s="3" t="s">
        <v>163</v>
      </c>
      <c r="H134" s="3" t="s">
        <v>164</v>
      </c>
      <c r="I134" s="3" t="s">
        <v>522</v>
      </c>
      <c r="J134" s="4">
        <v>45863</v>
      </c>
      <c r="K134" s="3" t="s">
        <v>369</v>
      </c>
      <c r="L134" s="3">
        <f>SUM(Sheet2!A134-F134)</f>
        <v>0</v>
      </c>
      <c r="M134" s="3" t="s">
        <v>829</v>
      </c>
    </row>
    <row r="135" spans="1:13" x14ac:dyDescent="0.3">
      <c r="A135" s="3">
        <v>134</v>
      </c>
      <c r="B135" s="3" t="s">
        <v>523</v>
      </c>
      <c r="C135" s="3" t="s">
        <v>524</v>
      </c>
      <c r="D135" s="3">
        <v>368</v>
      </c>
      <c r="E135" s="3">
        <v>348</v>
      </c>
      <c r="F135" s="3">
        <v>370</v>
      </c>
      <c r="G135" s="3" t="s">
        <v>163</v>
      </c>
      <c r="H135" s="3" t="s">
        <v>164</v>
      </c>
      <c r="I135" s="3" t="s">
        <v>525</v>
      </c>
      <c r="J135" s="4">
        <v>45863</v>
      </c>
      <c r="K135" s="3" t="s">
        <v>526</v>
      </c>
      <c r="L135" s="3">
        <f>SUM(Sheet2!A135-F135)</f>
        <v>0</v>
      </c>
      <c r="M135" s="3" t="s">
        <v>830</v>
      </c>
    </row>
    <row r="136" spans="1:13" x14ac:dyDescent="0.3">
      <c r="A136" s="3">
        <v>135</v>
      </c>
      <c r="B136" s="3" t="s">
        <v>527</v>
      </c>
      <c r="C136" s="3" t="s">
        <v>528</v>
      </c>
      <c r="D136" s="3">
        <v>564</v>
      </c>
      <c r="E136" s="3">
        <v>573</v>
      </c>
      <c r="F136" s="3">
        <v>566</v>
      </c>
      <c r="G136" s="3" t="s">
        <v>163</v>
      </c>
      <c r="H136" s="3" t="s">
        <v>164</v>
      </c>
      <c r="I136" s="3" t="s">
        <v>529</v>
      </c>
      <c r="J136" s="4">
        <v>45863</v>
      </c>
      <c r="K136" s="3" t="s">
        <v>530</v>
      </c>
      <c r="L136" s="3">
        <f>SUM(Sheet2!A136-F136)</f>
        <v>0</v>
      </c>
      <c r="M136" s="3" t="s">
        <v>831</v>
      </c>
    </row>
    <row r="137" spans="1:13" x14ac:dyDescent="0.3">
      <c r="A137" s="3">
        <v>136</v>
      </c>
      <c r="B137" s="3" t="s">
        <v>531</v>
      </c>
      <c r="C137" s="3" t="s">
        <v>532</v>
      </c>
      <c r="D137" s="3">
        <v>759</v>
      </c>
      <c r="E137" s="3">
        <v>562</v>
      </c>
      <c r="F137" s="3">
        <v>758</v>
      </c>
      <c r="G137" s="3" t="s">
        <v>163</v>
      </c>
      <c r="H137" s="3" t="s">
        <v>164</v>
      </c>
      <c r="I137" s="3" t="s">
        <v>533</v>
      </c>
      <c r="J137" s="4">
        <v>45863</v>
      </c>
      <c r="K137" s="3" t="s">
        <v>534</v>
      </c>
      <c r="L137" s="3">
        <f>SUM(Sheet2!A137-F137)</f>
        <v>0</v>
      </c>
      <c r="M137" s="3" t="s">
        <v>832</v>
      </c>
    </row>
    <row r="138" spans="1:13" x14ac:dyDescent="0.3">
      <c r="A138" s="3">
        <v>137</v>
      </c>
      <c r="B138" s="3" t="s">
        <v>535</v>
      </c>
      <c r="C138" s="3" t="s">
        <v>536</v>
      </c>
      <c r="D138" s="3">
        <v>436</v>
      </c>
      <c r="E138" s="3">
        <v>438</v>
      </c>
      <c r="F138" s="3">
        <v>434</v>
      </c>
      <c r="G138" s="3" t="s">
        <v>163</v>
      </c>
      <c r="H138" s="3" t="s">
        <v>164</v>
      </c>
      <c r="I138" s="3" t="s">
        <v>537</v>
      </c>
      <c r="J138" s="4">
        <v>45863</v>
      </c>
      <c r="K138" s="3" t="s">
        <v>538</v>
      </c>
      <c r="L138" s="3">
        <f>SUM(Sheet2!A138-F138)</f>
        <v>0</v>
      </c>
      <c r="M138" s="3" t="s">
        <v>833</v>
      </c>
    </row>
    <row r="139" spans="1:13" x14ac:dyDescent="0.3">
      <c r="A139" s="3">
        <v>138</v>
      </c>
      <c r="B139" s="3" t="s">
        <v>539</v>
      </c>
      <c r="C139" s="3" t="s">
        <v>540</v>
      </c>
      <c r="D139" s="3">
        <v>265</v>
      </c>
      <c r="E139" s="3">
        <v>265</v>
      </c>
      <c r="F139" s="3">
        <v>270</v>
      </c>
      <c r="G139" s="3" t="s">
        <v>163</v>
      </c>
      <c r="H139" s="3" t="s">
        <v>164</v>
      </c>
      <c r="I139" s="3" t="s">
        <v>541</v>
      </c>
      <c r="J139" s="4">
        <v>45863</v>
      </c>
      <c r="K139" s="3" t="s">
        <v>542</v>
      </c>
      <c r="L139" s="3">
        <f>SUM(Sheet2!A139-F139)</f>
        <v>0</v>
      </c>
      <c r="M139" s="3" t="s">
        <v>834</v>
      </c>
    </row>
    <row r="140" spans="1:13" x14ac:dyDescent="0.3">
      <c r="A140" s="3">
        <v>139</v>
      </c>
      <c r="B140" s="3" t="s">
        <v>543</v>
      </c>
      <c r="C140" s="3" t="s">
        <v>544</v>
      </c>
      <c r="D140" s="3">
        <v>486</v>
      </c>
      <c r="E140" s="3">
        <v>432</v>
      </c>
      <c r="F140" s="3">
        <v>492</v>
      </c>
      <c r="G140" s="3" t="s">
        <v>163</v>
      </c>
      <c r="H140" s="3" t="s">
        <v>164</v>
      </c>
      <c r="I140" s="3" t="s">
        <v>545</v>
      </c>
      <c r="J140" s="4">
        <v>45863</v>
      </c>
      <c r="K140" s="3" t="s">
        <v>546</v>
      </c>
      <c r="L140" s="3">
        <f>SUM(Sheet2!A140-F140)</f>
        <v>0</v>
      </c>
      <c r="M140" s="3" t="s">
        <v>835</v>
      </c>
    </row>
    <row r="141" spans="1:13" x14ac:dyDescent="0.3">
      <c r="A141" s="3">
        <v>140</v>
      </c>
      <c r="B141" s="3" t="s">
        <v>547</v>
      </c>
      <c r="C141" s="3" t="s">
        <v>548</v>
      </c>
      <c r="D141" s="3">
        <v>565</v>
      </c>
      <c r="E141" s="3">
        <v>505</v>
      </c>
      <c r="F141" s="3">
        <v>549</v>
      </c>
      <c r="G141" s="3" t="s">
        <v>163</v>
      </c>
      <c r="H141" s="3" t="s">
        <v>164</v>
      </c>
      <c r="I141" s="3" t="s">
        <v>549</v>
      </c>
      <c r="J141" s="4">
        <v>45863</v>
      </c>
      <c r="K141" s="3" t="s">
        <v>550</v>
      </c>
      <c r="L141" s="3">
        <f>SUM(Sheet2!A141-F141)</f>
        <v>0</v>
      </c>
      <c r="M141" s="3" t="s">
        <v>836</v>
      </c>
    </row>
    <row r="142" spans="1:13" x14ac:dyDescent="0.3">
      <c r="A142" s="3">
        <v>141</v>
      </c>
      <c r="B142" s="3" t="s">
        <v>551</v>
      </c>
      <c r="C142" s="3" t="s">
        <v>552</v>
      </c>
      <c r="D142" s="3">
        <v>700</v>
      </c>
      <c r="E142" s="3">
        <v>850</v>
      </c>
      <c r="F142" s="3">
        <v>845</v>
      </c>
      <c r="G142" s="3" t="s">
        <v>163</v>
      </c>
      <c r="H142" s="3" t="s">
        <v>16</v>
      </c>
      <c r="I142" s="3" t="s">
        <v>553</v>
      </c>
      <c r="J142" s="4">
        <v>45863</v>
      </c>
      <c r="K142" s="3" t="s">
        <v>554</v>
      </c>
      <c r="L142" s="3">
        <f>SUM(Sheet2!A142-F142)</f>
        <v>0</v>
      </c>
      <c r="M142" s="3" t="s">
        <v>837</v>
      </c>
    </row>
    <row r="143" spans="1:13" x14ac:dyDescent="0.3">
      <c r="A143" s="3">
        <v>142</v>
      </c>
      <c r="B143" s="3" t="s">
        <v>555</v>
      </c>
      <c r="C143" s="3" t="s">
        <v>556</v>
      </c>
      <c r="D143" s="3">
        <v>315</v>
      </c>
      <c r="E143" s="3">
        <v>375</v>
      </c>
      <c r="F143" s="3">
        <v>372</v>
      </c>
      <c r="G143" s="3" t="s">
        <v>163</v>
      </c>
      <c r="H143" s="3" t="s">
        <v>164</v>
      </c>
      <c r="I143" s="3" t="s">
        <v>557</v>
      </c>
      <c r="J143" s="4">
        <v>45863</v>
      </c>
      <c r="K143" s="3" t="s">
        <v>558</v>
      </c>
      <c r="L143" s="3">
        <f>SUM(Sheet2!A143-F143)</f>
        <v>0</v>
      </c>
      <c r="M143" s="3" t="s">
        <v>838</v>
      </c>
    </row>
    <row r="144" spans="1:13" x14ac:dyDescent="0.3">
      <c r="A144" s="3">
        <v>143</v>
      </c>
      <c r="B144" s="3" t="s">
        <v>559</v>
      </c>
      <c r="C144" s="3" t="s">
        <v>560</v>
      </c>
      <c r="D144" s="3">
        <v>137</v>
      </c>
      <c r="E144" s="3">
        <v>137</v>
      </c>
      <c r="F144" s="3">
        <v>123</v>
      </c>
      <c r="G144" s="3" t="s">
        <v>15</v>
      </c>
      <c r="H144" s="3" t="s">
        <v>29</v>
      </c>
      <c r="I144" s="3" t="s">
        <v>561</v>
      </c>
      <c r="J144" s="4">
        <v>45863</v>
      </c>
      <c r="K144" s="3" t="s">
        <v>562</v>
      </c>
      <c r="L144" s="3">
        <f>SUM(Sheet2!A144-F144)</f>
        <v>0</v>
      </c>
      <c r="M144" s="3" t="s">
        <v>839</v>
      </c>
    </row>
    <row r="145" spans="1:13" x14ac:dyDescent="0.3">
      <c r="A145" s="3">
        <v>144</v>
      </c>
      <c r="B145" s="3" t="s">
        <v>563</v>
      </c>
      <c r="C145" s="3" t="s">
        <v>564</v>
      </c>
      <c r="D145" s="3">
        <v>149</v>
      </c>
      <c r="E145" s="3">
        <v>149</v>
      </c>
      <c r="F145" s="3">
        <v>191</v>
      </c>
      <c r="G145" s="3" t="s">
        <v>15</v>
      </c>
      <c r="H145" s="3" t="s">
        <v>29</v>
      </c>
      <c r="I145" s="3" t="s">
        <v>364</v>
      </c>
      <c r="J145" s="4">
        <v>45863</v>
      </c>
      <c r="K145" s="3" t="s">
        <v>365</v>
      </c>
      <c r="L145" s="3">
        <f>SUM(Sheet2!A145-F145)</f>
        <v>0</v>
      </c>
      <c r="M145" s="3" t="s">
        <v>840</v>
      </c>
    </row>
    <row r="146" spans="1:13" x14ac:dyDescent="0.3">
      <c r="A146" s="3">
        <v>145</v>
      </c>
      <c r="B146" s="3" t="s">
        <v>565</v>
      </c>
      <c r="C146" s="3" t="s">
        <v>566</v>
      </c>
      <c r="D146" s="3">
        <v>153</v>
      </c>
      <c r="E146" s="3">
        <v>153</v>
      </c>
      <c r="F146" s="3">
        <v>139</v>
      </c>
      <c r="G146" s="3" t="s">
        <v>163</v>
      </c>
      <c r="H146" s="3" t="s">
        <v>164</v>
      </c>
      <c r="I146" s="3" t="s">
        <v>567</v>
      </c>
      <c r="J146" s="4">
        <v>45863</v>
      </c>
      <c r="K146" s="3" t="s">
        <v>568</v>
      </c>
      <c r="L146" s="3">
        <f>SUM(Sheet2!A146-F146)</f>
        <v>0</v>
      </c>
      <c r="M146" s="3" t="s">
        <v>841</v>
      </c>
    </row>
    <row r="147" spans="1:13" x14ac:dyDescent="0.3">
      <c r="A147" s="3">
        <v>146</v>
      </c>
      <c r="B147" s="3" t="s">
        <v>569</v>
      </c>
      <c r="C147" s="3" t="s">
        <v>570</v>
      </c>
      <c r="D147" s="3">
        <v>89</v>
      </c>
      <c r="E147" s="3">
        <v>85</v>
      </c>
      <c r="F147" s="3">
        <v>82</v>
      </c>
      <c r="G147" s="3" t="s">
        <v>163</v>
      </c>
      <c r="H147" s="3" t="s">
        <v>16</v>
      </c>
      <c r="I147" s="3" t="s">
        <v>571</v>
      </c>
      <c r="J147" s="4">
        <v>45863</v>
      </c>
      <c r="K147" s="3" t="s">
        <v>572</v>
      </c>
      <c r="L147" s="3">
        <f>SUM(Sheet2!A147-F147)</f>
        <v>0</v>
      </c>
      <c r="M147" s="3" t="s">
        <v>842</v>
      </c>
    </row>
    <row r="148" spans="1:13" x14ac:dyDescent="0.3">
      <c r="A148" s="3">
        <v>147</v>
      </c>
      <c r="B148" s="3" t="s">
        <v>573</v>
      </c>
      <c r="C148" s="3" t="s">
        <v>574</v>
      </c>
      <c r="D148" s="3">
        <v>149</v>
      </c>
      <c r="E148" s="3">
        <v>120</v>
      </c>
      <c r="F148" s="3">
        <v>146</v>
      </c>
      <c r="G148" s="3" t="s">
        <v>163</v>
      </c>
      <c r="H148" s="3" t="s">
        <v>403</v>
      </c>
      <c r="I148" s="3" t="s">
        <v>575</v>
      </c>
      <c r="J148" s="4">
        <v>45863</v>
      </c>
      <c r="K148" s="3" t="s">
        <v>576</v>
      </c>
      <c r="L148" s="3">
        <f>SUM(Sheet2!A148-F148)</f>
        <v>0</v>
      </c>
      <c r="M148" s="3" t="s">
        <v>843</v>
      </c>
    </row>
    <row r="149" spans="1:13" x14ac:dyDescent="0.3">
      <c r="A149" s="3">
        <v>148</v>
      </c>
      <c r="B149" s="3" t="s">
        <v>577</v>
      </c>
      <c r="C149" s="3" t="s">
        <v>578</v>
      </c>
      <c r="D149" s="3">
        <v>200</v>
      </c>
      <c r="E149" s="3">
        <v>200</v>
      </c>
      <c r="F149" s="3">
        <v>200</v>
      </c>
      <c r="G149" s="3" t="s">
        <v>163</v>
      </c>
      <c r="H149" s="3" t="s">
        <v>403</v>
      </c>
      <c r="I149" s="3" t="s">
        <v>579</v>
      </c>
      <c r="J149" s="4">
        <v>45863</v>
      </c>
      <c r="K149" s="3" t="s">
        <v>230</v>
      </c>
      <c r="L149" s="3">
        <f>SUM(Sheet2!A149-F149)</f>
        <v>0</v>
      </c>
      <c r="M149" s="3" t="s">
        <v>844</v>
      </c>
    </row>
    <row r="150" spans="1:13" x14ac:dyDescent="0.3">
      <c r="A150" s="3">
        <v>149</v>
      </c>
      <c r="B150" s="3" t="s">
        <v>580</v>
      </c>
      <c r="C150" s="3" t="s">
        <v>581</v>
      </c>
      <c r="D150" s="3">
        <v>407</v>
      </c>
      <c r="E150" s="3">
        <v>378</v>
      </c>
      <c r="F150" s="3">
        <v>404</v>
      </c>
      <c r="G150" s="3" t="s">
        <v>163</v>
      </c>
      <c r="H150" s="3" t="s">
        <v>164</v>
      </c>
      <c r="I150" s="3" t="s">
        <v>582</v>
      </c>
      <c r="J150" s="4">
        <v>45863</v>
      </c>
      <c r="K150" s="3" t="s">
        <v>583</v>
      </c>
      <c r="L150" s="3">
        <f>SUM(Sheet2!A150-F150)</f>
        <v>0</v>
      </c>
      <c r="M150" s="3" t="s">
        <v>845</v>
      </c>
    </row>
    <row r="151" spans="1:13" x14ac:dyDescent="0.3">
      <c r="A151" s="3">
        <v>150</v>
      </c>
      <c r="B151" s="3" t="s">
        <v>584</v>
      </c>
      <c r="C151" s="3" t="s">
        <v>585</v>
      </c>
      <c r="D151" s="3">
        <v>347</v>
      </c>
      <c r="E151" s="3">
        <v>343</v>
      </c>
      <c r="F151" s="3">
        <v>340</v>
      </c>
      <c r="G151" s="3" t="s">
        <v>163</v>
      </c>
      <c r="H151" s="3" t="s">
        <v>164</v>
      </c>
      <c r="I151" s="3" t="s">
        <v>586</v>
      </c>
      <c r="J151" s="4">
        <v>45863</v>
      </c>
      <c r="K151" s="3" t="s">
        <v>587</v>
      </c>
      <c r="L151" s="3">
        <f>SUM(Sheet2!A151-F151)</f>
        <v>0</v>
      </c>
      <c r="M151" s="3" t="s">
        <v>846</v>
      </c>
    </row>
    <row r="152" spans="1:13" x14ac:dyDescent="0.3">
      <c r="A152" s="3">
        <v>151</v>
      </c>
      <c r="B152" s="3" t="s">
        <v>588</v>
      </c>
      <c r="C152" s="3" t="s">
        <v>589</v>
      </c>
      <c r="D152" s="3">
        <v>140</v>
      </c>
      <c r="E152" s="3">
        <v>110</v>
      </c>
      <c r="F152" s="3">
        <v>110</v>
      </c>
      <c r="G152" s="3" t="s">
        <v>163</v>
      </c>
      <c r="H152" s="3" t="s">
        <v>16</v>
      </c>
      <c r="I152" s="3" t="s">
        <v>590</v>
      </c>
      <c r="J152" s="4">
        <v>45863</v>
      </c>
      <c r="K152" s="3" t="s">
        <v>591</v>
      </c>
      <c r="L152" s="3">
        <f>SUM(Sheet2!A152-F152)</f>
        <v>0</v>
      </c>
      <c r="M152" s="3" t="s">
        <v>847</v>
      </c>
    </row>
    <row r="153" spans="1:13" x14ac:dyDescent="0.3">
      <c r="A153" s="3">
        <v>152</v>
      </c>
      <c r="B153" s="3" t="s">
        <v>592</v>
      </c>
      <c r="C153" s="3" t="s">
        <v>593</v>
      </c>
      <c r="D153" s="3">
        <v>147</v>
      </c>
      <c r="E153" s="3">
        <v>147</v>
      </c>
      <c r="F153" s="3">
        <v>147</v>
      </c>
      <c r="G153" s="3" t="s">
        <v>163</v>
      </c>
      <c r="H153" s="3" t="s">
        <v>16</v>
      </c>
      <c r="I153" s="3" t="s">
        <v>594</v>
      </c>
      <c r="J153" s="4">
        <v>45863</v>
      </c>
      <c r="K153" s="3" t="s">
        <v>595</v>
      </c>
      <c r="L153" s="3">
        <f>SUM(Sheet2!A153-F153)</f>
        <v>0</v>
      </c>
      <c r="M153" s="3" t="s">
        <v>848</v>
      </c>
    </row>
    <row r="154" spans="1:13" x14ac:dyDescent="0.3">
      <c r="A154" s="3">
        <v>153</v>
      </c>
      <c r="B154" s="3" t="s">
        <v>596</v>
      </c>
      <c r="C154" s="3" t="s">
        <v>597</v>
      </c>
      <c r="D154" s="3">
        <v>250</v>
      </c>
      <c r="E154" s="3">
        <v>190</v>
      </c>
      <c r="F154" s="3">
        <v>175</v>
      </c>
      <c r="G154" s="3" t="s">
        <v>163</v>
      </c>
      <c r="H154" s="3" t="s">
        <v>16</v>
      </c>
      <c r="I154" s="3" t="s">
        <v>598</v>
      </c>
      <c r="J154" s="4">
        <v>45863</v>
      </c>
      <c r="K154" s="3" t="s">
        <v>599</v>
      </c>
      <c r="L154" s="3">
        <f>SUM(Sheet2!A154-F154)</f>
        <v>0</v>
      </c>
      <c r="M154" s="3" t="s">
        <v>849</v>
      </c>
    </row>
    <row r="155" spans="1:13" x14ac:dyDescent="0.3">
      <c r="A155" s="3">
        <v>154</v>
      </c>
      <c r="B155" s="3" t="s">
        <v>596</v>
      </c>
      <c r="C155" s="3" t="s">
        <v>600</v>
      </c>
      <c r="D155" s="3">
        <v>250</v>
      </c>
      <c r="E155" s="3">
        <v>200</v>
      </c>
      <c r="F155" s="3">
        <v>194</v>
      </c>
      <c r="G155" s="3" t="s">
        <v>163</v>
      </c>
      <c r="H155" s="3" t="s">
        <v>16</v>
      </c>
      <c r="I155" s="3" t="s">
        <v>601</v>
      </c>
      <c r="J155" s="4">
        <v>45863</v>
      </c>
      <c r="K155" s="3" t="s">
        <v>602</v>
      </c>
      <c r="L155" s="3">
        <f>SUM(Sheet2!A155-F155)</f>
        <v>0</v>
      </c>
      <c r="M155" s="3" t="s">
        <v>850</v>
      </c>
    </row>
    <row r="156" spans="1:13" x14ac:dyDescent="0.3">
      <c r="A156" s="3">
        <v>155</v>
      </c>
      <c r="B156" s="3" t="s">
        <v>603</v>
      </c>
      <c r="C156" s="3" t="s">
        <v>604</v>
      </c>
      <c r="D156" s="3">
        <v>220</v>
      </c>
      <c r="E156" s="3">
        <v>230</v>
      </c>
      <c r="F156" s="3">
        <v>210</v>
      </c>
      <c r="G156" s="3" t="s">
        <v>163</v>
      </c>
      <c r="H156" s="3" t="s">
        <v>16</v>
      </c>
      <c r="I156" s="3" t="s">
        <v>605</v>
      </c>
      <c r="J156" s="4">
        <v>45863</v>
      </c>
      <c r="K156" s="3" t="s">
        <v>606</v>
      </c>
      <c r="L156" s="3">
        <f>SUM(Sheet2!A156-F156)</f>
        <v>0</v>
      </c>
      <c r="M156" s="3" t="s">
        <v>851</v>
      </c>
    </row>
    <row r="157" spans="1:13" x14ac:dyDescent="0.3">
      <c r="A157" s="3">
        <v>156</v>
      </c>
      <c r="B157" s="3" t="s">
        <v>607</v>
      </c>
      <c r="C157" s="3" t="s">
        <v>608</v>
      </c>
      <c r="D157" s="3">
        <v>275</v>
      </c>
      <c r="E157" s="3">
        <v>350</v>
      </c>
      <c r="F157" s="3">
        <v>308</v>
      </c>
      <c r="G157" s="3" t="s">
        <v>163</v>
      </c>
      <c r="H157" s="3" t="s">
        <v>16</v>
      </c>
      <c r="I157" s="5" t="s">
        <v>609</v>
      </c>
      <c r="J157" s="4">
        <v>45863</v>
      </c>
      <c r="K157" s="3" t="s">
        <v>610</v>
      </c>
      <c r="L157" s="3">
        <f>SUM(Sheet2!A157-F157)</f>
        <v>0</v>
      </c>
      <c r="M157" s="3" t="s">
        <v>852</v>
      </c>
    </row>
    <row r="158" spans="1:13" x14ac:dyDescent="0.3">
      <c r="A158" s="3">
        <v>157</v>
      </c>
      <c r="B158" s="3" t="s">
        <v>611</v>
      </c>
      <c r="C158" s="3" t="s">
        <v>612</v>
      </c>
      <c r="D158" s="3">
        <v>330</v>
      </c>
      <c r="E158" s="3">
        <v>400</v>
      </c>
      <c r="F158" s="3">
        <v>327</v>
      </c>
      <c r="G158" s="3" t="s">
        <v>163</v>
      </c>
      <c r="H158" s="3" t="s">
        <v>16</v>
      </c>
      <c r="I158" s="3" t="s">
        <v>613</v>
      </c>
      <c r="J158" s="4">
        <v>45863</v>
      </c>
      <c r="K158" s="3" t="s">
        <v>614</v>
      </c>
      <c r="L158" s="3">
        <f>SUM(Sheet2!A158-F158)</f>
        <v>-11</v>
      </c>
      <c r="M158" s="3" t="s">
        <v>853</v>
      </c>
    </row>
    <row r="159" spans="1:13" x14ac:dyDescent="0.3">
      <c r="A159" s="3">
        <v>158</v>
      </c>
      <c r="B159" s="3" t="s">
        <v>615</v>
      </c>
      <c r="C159" s="3" t="s">
        <v>616</v>
      </c>
      <c r="D159" s="3">
        <v>310</v>
      </c>
      <c r="E159" s="3">
        <v>330</v>
      </c>
      <c r="F159" s="3">
        <v>352</v>
      </c>
      <c r="G159" s="3" t="s">
        <v>163</v>
      </c>
      <c r="H159" s="3" t="s">
        <v>16</v>
      </c>
      <c r="I159" s="3" t="s">
        <v>617</v>
      </c>
      <c r="J159" s="4">
        <v>45863</v>
      </c>
      <c r="K159" s="3" t="s">
        <v>615</v>
      </c>
      <c r="L159" s="3">
        <f>SUM(Sheet2!A159-F159)</f>
        <v>6</v>
      </c>
      <c r="M159" s="3" t="s">
        <v>854</v>
      </c>
    </row>
    <row r="160" spans="1:13" x14ac:dyDescent="0.3">
      <c r="A160" s="3">
        <v>159</v>
      </c>
      <c r="B160" s="3" t="s">
        <v>618</v>
      </c>
      <c r="C160" s="3" t="s">
        <v>619</v>
      </c>
      <c r="D160" s="3">
        <v>110</v>
      </c>
      <c r="E160" s="3">
        <v>120</v>
      </c>
      <c r="F160" s="3">
        <v>114</v>
      </c>
      <c r="G160" s="3" t="s">
        <v>163</v>
      </c>
      <c r="H160" s="3" t="s">
        <v>16</v>
      </c>
      <c r="I160" s="3" t="s">
        <v>620</v>
      </c>
      <c r="J160" s="4">
        <v>45863</v>
      </c>
      <c r="K160" s="3" t="s">
        <v>621</v>
      </c>
      <c r="L160" s="3">
        <f>SUM(Sheet2!A160-F160)</f>
        <v>0</v>
      </c>
      <c r="M160" s="3" t="s">
        <v>855</v>
      </c>
    </row>
    <row r="161" spans="1:13" x14ac:dyDescent="0.3">
      <c r="A161" s="3">
        <v>160</v>
      </c>
      <c r="B161" s="3" t="s">
        <v>622</v>
      </c>
      <c r="C161" s="3" t="s">
        <v>623</v>
      </c>
      <c r="D161" s="3">
        <v>230</v>
      </c>
      <c r="E161" s="3">
        <v>250</v>
      </c>
      <c r="F161" s="3">
        <v>236</v>
      </c>
      <c r="G161" s="3" t="s">
        <v>163</v>
      </c>
      <c r="H161" s="3" t="s">
        <v>16</v>
      </c>
      <c r="I161" s="3" t="s">
        <v>624</v>
      </c>
      <c r="J161" s="4">
        <v>45863</v>
      </c>
      <c r="K161" s="3" t="s">
        <v>625</v>
      </c>
      <c r="L161" s="3">
        <f>SUM(Sheet2!A161-F161)</f>
        <v>-65</v>
      </c>
      <c r="M161" s="3" t="s">
        <v>856</v>
      </c>
    </row>
    <row r="162" spans="1:13" x14ac:dyDescent="0.3">
      <c r="A162" s="3">
        <v>161</v>
      </c>
      <c r="B162" s="3" t="s">
        <v>626</v>
      </c>
      <c r="C162" s="3" t="s">
        <v>627</v>
      </c>
      <c r="D162" s="3">
        <v>250</v>
      </c>
      <c r="E162" s="3">
        <v>280</v>
      </c>
      <c r="F162" s="3">
        <v>240</v>
      </c>
      <c r="G162" s="3" t="s">
        <v>163</v>
      </c>
      <c r="H162" s="3" t="s">
        <v>403</v>
      </c>
      <c r="I162" s="3" t="s">
        <v>628</v>
      </c>
      <c r="J162" s="4">
        <v>45863</v>
      </c>
      <c r="K162" s="3" t="s">
        <v>629</v>
      </c>
      <c r="L162" s="3">
        <f>SUM(Sheet2!A162-F162)</f>
        <v>51</v>
      </c>
      <c r="M162" s="3" t="s">
        <v>857</v>
      </c>
    </row>
    <row r="163" spans="1:13" x14ac:dyDescent="0.3">
      <c r="A163" s="3">
        <v>162</v>
      </c>
      <c r="B163" s="3" t="s">
        <v>630</v>
      </c>
      <c r="C163" s="3" t="s">
        <v>631</v>
      </c>
      <c r="D163" s="3">
        <v>230</v>
      </c>
      <c r="E163" s="3">
        <v>220</v>
      </c>
      <c r="F163" s="3">
        <v>145</v>
      </c>
      <c r="G163" s="3" t="s">
        <v>163</v>
      </c>
      <c r="H163" s="3" t="s">
        <v>16</v>
      </c>
      <c r="I163" s="3" t="s">
        <v>632</v>
      </c>
      <c r="J163" s="4">
        <v>45863</v>
      </c>
      <c r="K163" s="3" t="s">
        <v>633</v>
      </c>
      <c r="L163" s="3">
        <f>SUM(Sheet2!A163-F163)</f>
        <v>55</v>
      </c>
      <c r="M163" s="3" t="s">
        <v>858</v>
      </c>
    </row>
    <row r="164" spans="1:13" x14ac:dyDescent="0.3">
      <c r="A164" s="3">
        <v>163</v>
      </c>
      <c r="B164" s="3" t="s">
        <v>634</v>
      </c>
      <c r="C164" s="3" t="s">
        <v>635</v>
      </c>
      <c r="D164" s="3">
        <v>575</v>
      </c>
      <c r="E164" s="3">
        <v>700</v>
      </c>
      <c r="F164" s="3">
        <v>527</v>
      </c>
      <c r="G164" s="3" t="s">
        <v>163</v>
      </c>
      <c r="H164" s="3" t="s">
        <v>16</v>
      </c>
      <c r="I164" s="3" t="s">
        <v>636</v>
      </c>
      <c r="J164" s="4">
        <v>45863</v>
      </c>
      <c r="K164" s="3" t="s">
        <v>637</v>
      </c>
      <c r="L164" s="3">
        <f>SUM(Sheet2!A164-F164)</f>
        <v>42</v>
      </c>
      <c r="M164" s="3" t="s">
        <v>859</v>
      </c>
    </row>
    <row r="165" spans="1:13" x14ac:dyDescent="0.3">
      <c r="A165" s="3">
        <v>164</v>
      </c>
      <c r="B165" s="3" t="s">
        <v>638</v>
      </c>
      <c r="C165" s="3" t="s">
        <v>639</v>
      </c>
      <c r="D165" s="3">
        <v>110</v>
      </c>
      <c r="E165" s="3">
        <v>110</v>
      </c>
      <c r="F165" s="3">
        <v>101</v>
      </c>
      <c r="G165" s="3" t="s">
        <v>163</v>
      </c>
      <c r="H165" s="3" t="s">
        <v>16</v>
      </c>
      <c r="I165" s="3" t="s">
        <v>640</v>
      </c>
      <c r="J165" s="4">
        <v>45863</v>
      </c>
      <c r="K165" s="3" t="s">
        <v>641</v>
      </c>
      <c r="L165" s="3">
        <f>SUM(Sheet2!A165-F165)</f>
        <v>6</v>
      </c>
      <c r="M165" s="3" t="s">
        <v>860</v>
      </c>
    </row>
    <row r="166" spans="1:13" x14ac:dyDescent="0.3">
      <c r="A166" s="3">
        <v>165</v>
      </c>
      <c r="B166" s="3" t="s">
        <v>642</v>
      </c>
      <c r="C166" s="3" t="s">
        <v>643</v>
      </c>
      <c r="D166" s="3">
        <v>97</v>
      </c>
      <c r="E166" s="3">
        <v>100</v>
      </c>
      <c r="F166" s="3">
        <v>95</v>
      </c>
      <c r="G166" s="3" t="s">
        <v>163</v>
      </c>
      <c r="H166" s="3" t="s">
        <v>16</v>
      </c>
      <c r="I166" s="3" t="s">
        <v>644</v>
      </c>
      <c r="J166" s="4">
        <v>45863</v>
      </c>
      <c r="K166" s="3" t="s">
        <v>645</v>
      </c>
      <c r="L166" s="3">
        <f>SUM(Sheet2!A166-F166)</f>
        <v>-28</v>
      </c>
      <c r="M166" s="3" t="s">
        <v>861</v>
      </c>
    </row>
    <row r="167" spans="1:13" x14ac:dyDescent="0.3">
      <c r="A167" s="3">
        <v>166</v>
      </c>
      <c r="B167" s="3" t="s">
        <v>646</v>
      </c>
      <c r="C167" s="3" t="s">
        <v>647</v>
      </c>
      <c r="D167" s="3">
        <v>110</v>
      </c>
      <c r="E167" s="3">
        <v>110</v>
      </c>
      <c r="F167" s="3">
        <v>108</v>
      </c>
      <c r="G167" s="3" t="s">
        <v>163</v>
      </c>
      <c r="H167" s="3" t="s">
        <v>16</v>
      </c>
      <c r="I167" s="3" t="s">
        <v>648</v>
      </c>
      <c r="J167" s="4">
        <v>45863</v>
      </c>
      <c r="K167" s="3" t="s">
        <v>649</v>
      </c>
      <c r="L167" s="3">
        <f>SUM(Sheet2!A167-F167)</f>
        <v>0</v>
      </c>
      <c r="M167" s="3" t="s">
        <v>862</v>
      </c>
    </row>
    <row r="168" spans="1:13" x14ac:dyDescent="0.3">
      <c r="A168" s="3">
        <v>167</v>
      </c>
      <c r="B168" s="3" t="s">
        <v>650</v>
      </c>
      <c r="C168" s="3" t="s">
        <v>651</v>
      </c>
      <c r="D168" s="3">
        <v>83</v>
      </c>
      <c r="E168" s="3">
        <v>85</v>
      </c>
      <c r="F168" s="3">
        <v>83</v>
      </c>
      <c r="G168" s="3" t="s">
        <v>163</v>
      </c>
      <c r="H168" s="3" t="s">
        <v>16</v>
      </c>
      <c r="I168" s="3" t="s">
        <v>652</v>
      </c>
      <c r="J168" s="4">
        <v>45863</v>
      </c>
      <c r="K168" s="3" t="s">
        <v>645</v>
      </c>
      <c r="L168" s="3">
        <f>SUM(Sheet2!A168-F168)</f>
        <v>-20</v>
      </c>
      <c r="M168" s="3" t="s">
        <v>863</v>
      </c>
    </row>
    <row r="169" spans="1:13" x14ac:dyDescent="0.3">
      <c r="A169" s="3">
        <v>168</v>
      </c>
      <c r="B169" s="3" t="s">
        <v>653</v>
      </c>
      <c r="C169" s="3" t="s">
        <v>654</v>
      </c>
      <c r="D169" s="3">
        <v>170</v>
      </c>
      <c r="E169" s="3">
        <v>160</v>
      </c>
      <c r="F169" s="3">
        <v>197</v>
      </c>
      <c r="G169" s="3" t="s">
        <v>163</v>
      </c>
      <c r="H169" s="3" t="s">
        <v>16</v>
      </c>
      <c r="I169" s="3" t="s">
        <v>655</v>
      </c>
      <c r="J169" s="4">
        <v>45863</v>
      </c>
      <c r="K169" s="3" t="s">
        <v>656</v>
      </c>
      <c r="L169" s="3">
        <f>SUM(Sheet2!A169-F169)</f>
        <v>0</v>
      </c>
      <c r="M169" s="3" t="s">
        <v>864</v>
      </c>
    </row>
    <row r="170" spans="1:13" x14ac:dyDescent="0.3">
      <c r="A170" s="3">
        <v>169</v>
      </c>
      <c r="B170" s="3" t="s">
        <v>657</v>
      </c>
      <c r="C170" s="3" t="s">
        <v>658</v>
      </c>
      <c r="D170" s="3">
        <v>207</v>
      </c>
      <c r="E170" s="3">
        <v>210</v>
      </c>
      <c r="F170" s="3">
        <v>266</v>
      </c>
      <c r="G170" s="3" t="s">
        <v>163</v>
      </c>
      <c r="H170" s="3" t="s">
        <v>16</v>
      </c>
      <c r="I170" s="3" t="s">
        <v>659</v>
      </c>
      <c r="J170" s="4">
        <v>45863</v>
      </c>
      <c r="K170" s="3" t="s">
        <v>660</v>
      </c>
      <c r="L170" s="3">
        <f>SUM(Sheet2!A170-F170)</f>
        <v>-1</v>
      </c>
      <c r="M170" s="3" t="s">
        <v>865</v>
      </c>
    </row>
    <row r="171" spans="1:13" x14ac:dyDescent="0.3">
      <c r="A171" s="3">
        <v>170</v>
      </c>
      <c r="B171" s="3" t="s">
        <v>661</v>
      </c>
      <c r="C171" s="3" t="s">
        <v>662</v>
      </c>
      <c r="D171" s="3">
        <v>135</v>
      </c>
      <c r="E171" s="3">
        <v>110</v>
      </c>
      <c r="F171" s="3">
        <v>137</v>
      </c>
      <c r="G171" s="3" t="s">
        <v>163</v>
      </c>
      <c r="H171" s="3" t="s">
        <v>16</v>
      </c>
      <c r="I171" s="3" t="s">
        <v>663</v>
      </c>
      <c r="J171" s="4">
        <v>45863</v>
      </c>
      <c r="K171" s="3" t="s">
        <v>664</v>
      </c>
      <c r="L171" s="3">
        <f>SUM(Sheet2!A171-F171)</f>
        <v>-10</v>
      </c>
      <c r="M171" s="3" t="s">
        <v>866</v>
      </c>
    </row>
    <row r="172" spans="1:13" x14ac:dyDescent="0.3">
      <c r="A172" s="3">
        <v>171</v>
      </c>
      <c r="B172" s="3" t="s">
        <v>665</v>
      </c>
      <c r="C172" s="3" t="s">
        <v>666</v>
      </c>
      <c r="D172" s="3">
        <v>130</v>
      </c>
      <c r="E172" s="3">
        <v>120</v>
      </c>
      <c r="F172" s="3">
        <v>127</v>
      </c>
      <c r="G172" s="3" t="s">
        <v>163</v>
      </c>
      <c r="H172" s="3" t="s">
        <v>16</v>
      </c>
      <c r="I172" s="3" t="s">
        <v>667</v>
      </c>
      <c r="J172" s="4">
        <v>45863</v>
      </c>
      <c r="K172" s="3" t="s">
        <v>668</v>
      </c>
      <c r="L172" s="3">
        <f>SUM(Sheet2!A172-F172)</f>
        <v>-7</v>
      </c>
      <c r="M172" s="3" t="s">
        <v>867</v>
      </c>
    </row>
    <row r="173" spans="1:13" x14ac:dyDescent="0.3">
      <c r="A173" s="3">
        <v>172</v>
      </c>
      <c r="B173" s="3" t="s">
        <v>669</v>
      </c>
      <c r="C173" s="3" t="s">
        <v>670</v>
      </c>
      <c r="D173" s="3">
        <v>120</v>
      </c>
      <c r="E173" s="3">
        <v>97</v>
      </c>
      <c r="F173" s="3">
        <v>94</v>
      </c>
      <c r="G173" s="3" t="s">
        <v>163</v>
      </c>
      <c r="H173" s="3" t="s">
        <v>29</v>
      </c>
      <c r="I173" s="5" t="s">
        <v>671</v>
      </c>
      <c r="J173" s="4">
        <v>45863</v>
      </c>
      <c r="K173" s="3" t="s">
        <v>672</v>
      </c>
      <c r="L173" s="3">
        <f>SUM(Sheet2!A173-F173)</f>
        <v>-33</v>
      </c>
      <c r="M173" s="3" t="s">
        <v>868</v>
      </c>
    </row>
    <row r="174" spans="1:13" x14ac:dyDescent="0.3">
      <c r="A174" s="3">
        <v>173</v>
      </c>
      <c r="B174" s="3" t="s">
        <v>673</v>
      </c>
      <c r="C174" s="3" t="s">
        <v>674</v>
      </c>
      <c r="D174" s="3">
        <v>125</v>
      </c>
      <c r="E174" s="3">
        <v>135</v>
      </c>
      <c r="F174" s="3">
        <v>123</v>
      </c>
      <c r="G174" s="3" t="s">
        <v>163</v>
      </c>
      <c r="H174" s="3" t="s">
        <v>29</v>
      </c>
      <c r="I174" s="3" t="s">
        <v>675</v>
      </c>
      <c r="J174" s="4">
        <v>45863</v>
      </c>
      <c r="K174" s="3" t="s">
        <v>676</v>
      </c>
      <c r="L174" s="3">
        <f>SUM(Sheet2!A174-F174)</f>
        <v>-48</v>
      </c>
      <c r="M174" s="3" t="s">
        <v>869</v>
      </c>
    </row>
    <row r="175" spans="1:13" x14ac:dyDescent="0.3">
      <c r="A175" s="3">
        <v>174</v>
      </c>
      <c r="B175" s="3" t="s">
        <v>677</v>
      </c>
      <c r="C175" s="3" t="s">
        <v>678</v>
      </c>
      <c r="D175" s="3">
        <v>134</v>
      </c>
      <c r="E175" s="3">
        <v>73</v>
      </c>
      <c r="F175" s="3">
        <v>110</v>
      </c>
      <c r="G175" s="3" t="s">
        <v>163</v>
      </c>
      <c r="H175" s="3" t="s">
        <v>164</v>
      </c>
      <c r="I175" s="3" t="s">
        <v>679</v>
      </c>
      <c r="J175" s="4">
        <v>45863</v>
      </c>
      <c r="K175" s="3" t="s">
        <v>680</v>
      </c>
      <c r="L175" s="3">
        <f>SUM(Sheet2!A175-F175)</f>
        <v>-8</v>
      </c>
      <c r="M175" s="3" t="s">
        <v>870</v>
      </c>
    </row>
    <row r="176" spans="1:13" x14ac:dyDescent="0.3">
      <c r="A176" s="3">
        <v>175</v>
      </c>
      <c r="B176" s="3" t="s">
        <v>681</v>
      </c>
      <c r="C176" s="3" t="s">
        <v>682</v>
      </c>
      <c r="D176" s="3">
        <v>120</v>
      </c>
      <c r="E176" s="3">
        <v>120</v>
      </c>
      <c r="F176" s="3">
        <v>116</v>
      </c>
      <c r="G176" s="3" t="s">
        <v>163</v>
      </c>
      <c r="H176" s="3" t="s">
        <v>29</v>
      </c>
      <c r="I176" s="3" t="s">
        <v>683</v>
      </c>
      <c r="J176" s="4">
        <v>45863</v>
      </c>
      <c r="K176" s="3" t="s">
        <v>684</v>
      </c>
      <c r="L176" s="3">
        <f>SUM(Sheet2!A176-F176)</f>
        <v>-68</v>
      </c>
      <c r="M176" s="3" t="s">
        <v>871</v>
      </c>
    </row>
    <row r="177" spans="1:13" x14ac:dyDescent="0.3">
      <c r="A177" s="3">
        <v>176</v>
      </c>
      <c r="B177" s="3" t="s">
        <v>685</v>
      </c>
      <c r="C177" s="3" t="s">
        <v>686</v>
      </c>
      <c r="D177" s="3">
        <v>50</v>
      </c>
      <c r="E177" s="3">
        <v>50</v>
      </c>
      <c r="F177" s="3">
        <v>48</v>
      </c>
      <c r="G177" s="3" t="s">
        <v>163</v>
      </c>
      <c r="H177" s="3" t="s">
        <v>16</v>
      </c>
      <c r="I177" s="3" t="s">
        <v>687</v>
      </c>
      <c r="J177" s="4">
        <v>45863</v>
      </c>
      <c r="K177" s="3" t="s">
        <v>688</v>
      </c>
      <c r="L177" s="3">
        <f>SUM(Sheet2!A177-F177)</f>
        <v>66</v>
      </c>
      <c r="M177" s="3" t="s">
        <v>872</v>
      </c>
    </row>
    <row r="178" spans="1:13" x14ac:dyDescent="0.3">
      <c r="A178" s="3">
        <v>177</v>
      </c>
      <c r="B178" s="3" t="s">
        <v>689</v>
      </c>
      <c r="C178" s="3" t="s">
        <v>690</v>
      </c>
      <c r="D178" s="3">
        <v>130</v>
      </c>
      <c r="E178" s="3">
        <v>129</v>
      </c>
      <c r="F178" s="3">
        <v>128</v>
      </c>
      <c r="G178" s="3" t="s">
        <v>163</v>
      </c>
      <c r="H178" s="3" t="s">
        <v>164</v>
      </c>
      <c r="I178" s="3" t="s">
        <v>691</v>
      </c>
      <c r="J178" s="4">
        <v>45863</v>
      </c>
      <c r="K178" s="3" t="s">
        <v>692</v>
      </c>
      <c r="L178" s="3">
        <f>SUM(Sheet2!A178-F178)</f>
        <v>-14</v>
      </c>
      <c r="M178" s="3" t="s">
        <v>873</v>
      </c>
    </row>
    <row r="179" spans="1:13" ht="244.8" x14ac:dyDescent="0.3">
      <c r="A179" s="3">
        <v>178</v>
      </c>
      <c r="B179" s="3" t="s">
        <v>693</v>
      </c>
      <c r="C179" s="3" t="s">
        <v>694</v>
      </c>
      <c r="D179" s="3">
        <v>270</v>
      </c>
      <c r="E179" s="3">
        <v>269</v>
      </c>
      <c r="F179" s="3">
        <v>282</v>
      </c>
      <c r="G179" s="3" t="s">
        <v>163</v>
      </c>
      <c r="H179" s="3" t="s">
        <v>164</v>
      </c>
      <c r="I179" s="2" t="s">
        <v>695</v>
      </c>
      <c r="J179" s="4">
        <v>45863</v>
      </c>
      <c r="K179" s="3" t="s">
        <v>696</v>
      </c>
      <c r="L179" s="3">
        <f>SUM(Sheet2!A179-F179)</f>
        <v>54</v>
      </c>
      <c r="M179" s="3" t="s">
        <v>874</v>
      </c>
    </row>
  </sheetData>
  <phoneticPr fontId="3" type="noConversion"/>
  <hyperlinks>
    <hyperlink ref="I157" r:id="rId1" xr:uid="{991DA5CC-062E-4310-A6B3-172D41A07232}"/>
    <hyperlink ref="I173" r:id="rId2" xr:uid="{5B5BADF1-22EE-49F3-8B2B-50DAE02C8386}"/>
  </hyperlinks>
  <pageMargins left="0.75" right="0.75" top="1" bottom="1" header="0.5" footer="0.5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F134-650B-41E1-8F8C-DC182C870C16}">
  <dimension ref="A1:A179"/>
  <sheetViews>
    <sheetView workbookViewId="0">
      <selection sqref="A1:A1048576"/>
    </sheetView>
  </sheetViews>
  <sheetFormatPr defaultRowHeight="14.4" x14ac:dyDescent="0.3"/>
  <cols>
    <col min="1" max="1" width="19.33203125" style="3" customWidth="1"/>
  </cols>
  <sheetData>
    <row r="1" spans="1:1" x14ac:dyDescent="0.3">
      <c r="A1" s="1" t="s">
        <v>11</v>
      </c>
    </row>
    <row r="2" spans="1:1" x14ac:dyDescent="0.3">
      <c r="A2" s="3">
        <v>40</v>
      </c>
    </row>
    <row r="3" spans="1:1" x14ac:dyDescent="0.3">
      <c r="A3" s="3">
        <v>124</v>
      </c>
    </row>
    <row r="4" spans="1:1" x14ac:dyDescent="0.3">
      <c r="A4" s="3">
        <v>124</v>
      </c>
    </row>
    <row r="5" spans="1:1" x14ac:dyDescent="0.3">
      <c r="A5" s="3">
        <v>64</v>
      </c>
    </row>
    <row r="6" spans="1:1" x14ac:dyDescent="0.3">
      <c r="A6" s="3">
        <v>94</v>
      </c>
    </row>
    <row r="7" spans="1:1" x14ac:dyDescent="0.3">
      <c r="A7" s="3">
        <v>99</v>
      </c>
    </row>
    <row r="8" spans="1:1" x14ac:dyDescent="0.3">
      <c r="A8" s="3">
        <v>49</v>
      </c>
    </row>
    <row r="9" spans="1:1" x14ac:dyDescent="0.3">
      <c r="A9" s="3">
        <v>89</v>
      </c>
    </row>
    <row r="10" spans="1:1" x14ac:dyDescent="0.3">
      <c r="A10" s="3">
        <v>120</v>
      </c>
    </row>
    <row r="11" spans="1:1" x14ac:dyDescent="0.3">
      <c r="A11" s="3">
        <v>129</v>
      </c>
    </row>
    <row r="12" spans="1:1" x14ac:dyDescent="0.3">
      <c r="A12" s="3">
        <v>57</v>
      </c>
    </row>
    <row r="13" spans="1:1" x14ac:dyDescent="0.3">
      <c r="A13" s="3">
        <v>45</v>
      </c>
    </row>
    <row r="14" spans="1:1" x14ac:dyDescent="0.3">
      <c r="A14" s="3">
        <v>68</v>
      </c>
    </row>
    <row r="15" spans="1:1" x14ac:dyDescent="0.3">
      <c r="A15" s="3">
        <v>69</v>
      </c>
    </row>
    <row r="16" spans="1:1" x14ac:dyDescent="0.3">
      <c r="A16" s="3">
        <v>17</v>
      </c>
    </row>
    <row r="17" spans="1:1" x14ac:dyDescent="0.3">
      <c r="A17" s="3">
        <v>115</v>
      </c>
    </row>
    <row r="18" spans="1:1" x14ac:dyDescent="0.3">
      <c r="A18" s="3">
        <v>48</v>
      </c>
    </row>
    <row r="19" spans="1:1" x14ac:dyDescent="0.3">
      <c r="A19" s="3">
        <v>112</v>
      </c>
    </row>
    <row r="20" spans="1:1" x14ac:dyDescent="0.3">
      <c r="A20" s="3">
        <v>38</v>
      </c>
    </row>
    <row r="21" spans="1:1" x14ac:dyDescent="0.3">
      <c r="A21" s="3">
        <v>48</v>
      </c>
    </row>
    <row r="22" spans="1:1" x14ac:dyDescent="0.3">
      <c r="A22" s="3">
        <v>43</v>
      </c>
    </row>
    <row r="23" spans="1:1" x14ac:dyDescent="0.3">
      <c r="A23" s="3">
        <v>53</v>
      </c>
    </row>
    <row r="24" spans="1:1" x14ac:dyDescent="0.3">
      <c r="A24" s="3">
        <v>54</v>
      </c>
    </row>
    <row r="25" spans="1:1" x14ac:dyDescent="0.3">
      <c r="A25" s="3">
        <v>85</v>
      </c>
    </row>
    <row r="26" spans="1:1" x14ac:dyDescent="0.3">
      <c r="A26" s="3">
        <v>113</v>
      </c>
    </row>
    <row r="27" spans="1:1" x14ac:dyDescent="0.3">
      <c r="A27" s="3">
        <v>113</v>
      </c>
    </row>
    <row r="28" spans="1:1" x14ac:dyDescent="0.3">
      <c r="A28" s="3">
        <v>132</v>
      </c>
    </row>
    <row r="29" spans="1:1" x14ac:dyDescent="0.3">
      <c r="A29" s="3">
        <v>166</v>
      </c>
    </row>
    <row r="30" spans="1:1" x14ac:dyDescent="0.3">
      <c r="A30">
        <v>41</v>
      </c>
    </row>
    <row r="31" spans="1:1" x14ac:dyDescent="0.3">
      <c r="A31">
        <v>41</v>
      </c>
    </row>
    <row r="32" spans="1:1" x14ac:dyDescent="0.3">
      <c r="A32">
        <v>157</v>
      </c>
    </row>
    <row r="33" spans="1:1" x14ac:dyDescent="0.3">
      <c r="A33" s="3">
        <v>194</v>
      </c>
    </row>
    <row r="34" spans="1:1" x14ac:dyDescent="0.3">
      <c r="A34" s="3">
        <v>133</v>
      </c>
    </row>
    <row r="35" spans="1:1" x14ac:dyDescent="0.3">
      <c r="A35" s="3">
        <v>102</v>
      </c>
    </row>
    <row r="36" spans="1:1" x14ac:dyDescent="0.3">
      <c r="A36" s="3">
        <v>167</v>
      </c>
    </row>
    <row r="37" spans="1:1" x14ac:dyDescent="0.3">
      <c r="A37" s="3">
        <v>131</v>
      </c>
    </row>
    <row r="38" spans="1:1" x14ac:dyDescent="0.3">
      <c r="A38" s="3">
        <v>165</v>
      </c>
    </row>
    <row r="39" spans="1:1" x14ac:dyDescent="0.3">
      <c r="A39" s="3">
        <v>202</v>
      </c>
    </row>
    <row r="40" spans="1:1" x14ac:dyDescent="0.3">
      <c r="A40" s="3">
        <v>136</v>
      </c>
    </row>
    <row r="41" spans="1:1" x14ac:dyDescent="0.3">
      <c r="A41" s="3">
        <v>31</v>
      </c>
    </row>
    <row r="42" spans="1:1" x14ac:dyDescent="0.3">
      <c r="A42" s="3">
        <v>223</v>
      </c>
    </row>
    <row r="43" spans="1:1" x14ac:dyDescent="0.3">
      <c r="A43" s="3">
        <v>22</v>
      </c>
    </row>
    <row r="44" spans="1:1" x14ac:dyDescent="0.3">
      <c r="A44" s="3">
        <v>16</v>
      </c>
    </row>
    <row r="45" spans="1:1" x14ac:dyDescent="0.3">
      <c r="A45" s="3">
        <v>6</v>
      </c>
    </row>
    <row r="46" spans="1:1" x14ac:dyDescent="0.3">
      <c r="A46" s="3">
        <v>25</v>
      </c>
    </row>
    <row r="47" spans="1:1" x14ac:dyDescent="0.3">
      <c r="A47" s="3">
        <v>53</v>
      </c>
    </row>
    <row r="48" spans="1:1" x14ac:dyDescent="0.3">
      <c r="A48">
        <v>22</v>
      </c>
    </row>
    <row r="49" spans="1:1" x14ac:dyDescent="0.3">
      <c r="A49">
        <v>35</v>
      </c>
    </row>
    <row r="50" spans="1:1" x14ac:dyDescent="0.3">
      <c r="A50">
        <v>20</v>
      </c>
    </row>
    <row r="51" spans="1:1" x14ac:dyDescent="0.3">
      <c r="A51">
        <v>26</v>
      </c>
    </row>
    <row r="52" spans="1:1" x14ac:dyDescent="0.3">
      <c r="A52">
        <v>32</v>
      </c>
    </row>
    <row r="53" spans="1:1" x14ac:dyDescent="0.3">
      <c r="A53">
        <v>27</v>
      </c>
    </row>
    <row r="54" spans="1:1" x14ac:dyDescent="0.3">
      <c r="A54">
        <v>7</v>
      </c>
    </row>
    <row r="55" spans="1:1" x14ac:dyDescent="0.3">
      <c r="A55">
        <v>25</v>
      </c>
    </row>
    <row r="56" spans="1:1" x14ac:dyDescent="0.3">
      <c r="A56">
        <v>0</v>
      </c>
    </row>
    <row r="57" spans="1:1" x14ac:dyDescent="0.3">
      <c r="A57" s="3">
        <v>27</v>
      </c>
    </row>
    <row r="58" spans="1:1" x14ac:dyDescent="0.3">
      <c r="A58">
        <v>26</v>
      </c>
    </row>
    <row r="59" spans="1:1" x14ac:dyDescent="0.3">
      <c r="A59">
        <v>14</v>
      </c>
    </row>
    <row r="60" spans="1:1" x14ac:dyDescent="0.3">
      <c r="A60">
        <v>40</v>
      </c>
    </row>
    <row r="61" spans="1:1" x14ac:dyDescent="0.3">
      <c r="A61">
        <v>164</v>
      </c>
    </row>
    <row r="62" spans="1:1" x14ac:dyDescent="0.3">
      <c r="A62" s="3">
        <v>187</v>
      </c>
    </row>
    <row r="63" spans="1:1" x14ac:dyDescent="0.3">
      <c r="A63">
        <v>230</v>
      </c>
    </row>
    <row r="64" spans="1:1" x14ac:dyDescent="0.3">
      <c r="A64">
        <v>249</v>
      </c>
    </row>
    <row r="65" spans="1:1" x14ac:dyDescent="0.3">
      <c r="A65">
        <v>222</v>
      </c>
    </row>
    <row r="66" spans="1:1" x14ac:dyDescent="0.3">
      <c r="A66">
        <v>80</v>
      </c>
    </row>
    <row r="67" spans="1:1" x14ac:dyDescent="0.3">
      <c r="A67">
        <v>49</v>
      </c>
    </row>
    <row r="68" spans="1:1" x14ac:dyDescent="0.3">
      <c r="A68">
        <v>92</v>
      </c>
    </row>
    <row r="69" spans="1:1" x14ac:dyDescent="0.3">
      <c r="A69">
        <v>80</v>
      </c>
    </row>
    <row r="70" spans="1:1" x14ac:dyDescent="0.3">
      <c r="A70">
        <v>76</v>
      </c>
    </row>
    <row r="71" spans="1:1" x14ac:dyDescent="0.3">
      <c r="A71" s="3">
        <v>202</v>
      </c>
    </row>
    <row r="72" spans="1:1" x14ac:dyDescent="0.3">
      <c r="A72">
        <v>81</v>
      </c>
    </row>
    <row r="73" spans="1:1" x14ac:dyDescent="0.3">
      <c r="A73">
        <v>144</v>
      </c>
    </row>
    <row r="74" spans="1:1" x14ac:dyDescent="0.3">
      <c r="A74">
        <v>6</v>
      </c>
    </row>
    <row r="75" spans="1:1" x14ac:dyDescent="0.3">
      <c r="A75">
        <v>80</v>
      </c>
    </row>
    <row r="76" spans="1:1" x14ac:dyDescent="0.3">
      <c r="A76">
        <v>122</v>
      </c>
    </row>
    <row r="77" spans="1:1" x14ac:dyDescent="0.3">
      <c r="A77">
        <v>90</v>
      </c>
    </row>
    <row r="78" spans="1:1" x14ac:dyDescent="0.3">
      <c r="A78">
        <v>41</v>
      </c>
    </row>
    <row r="79" spans="1:1" x14ac:dyDescent="0.3">
      <c r="A79">
        <v>72</v>
      </c>
    </row>
    <row r="80" spans="1:1" x14ac:dyDescent="0.3">
      <c r="A80" s="3">
        <v>112</v>
      </c>
    </row>
    <row r="81" spans="1:1" x14ac:dyDescent="0.3">
      <c r="A81">
        <v>286</v>
      </c>
    </row>
    <row r="82" spans="1:1" x14ac:dyDescent="0.3">
      <c r="A82">
        <v>314</v>
      </c>
    </row>
    <row r="83" spans="1:1" x14ac:dyDescent="0.3">
      <c r="A83" s="3">
        <v>224</v>
      </c>
    </row>
    <row r="84" spans="1:1" x14ac:dyDescent="0.3">
      <c r="A84" s="3">
        <v>389</v>
      </c>
    </row>
    <row r="85" spans="1:1" x14ac:dyDescent="0.3">
      <c r="A85" s="3">
        <v>352</v>
      </c>
    </row>
    <row r="86" spans="1:1" x14ac:dyDescent="0.3">
      <c r="A86" s="3">
        <v>224</v>
      </c>
    </row>
    <row r="87" spans="1:1" x14ac:dyDescent="0.3">
      <c r="A87" s="3">
        <v>168</v>
      </c>
    </row>
    <row r="88" spans="1:1" x14ac:dyDescent="0.3">
      <c r="A88" s="3">
        <v>183</v>
      </c>
    </row>
    <row r="89" spans="1:1" x14ac:dyDescent="0.3">
      <c r="A89" s="3">
        <v>210</v>
      </c>
    </row>
    <row r="90" spans="1:1" x14ac:dyDescent="0.3">
      <c r="A90" s="3">
        <v>263</v>
      </c>
    </row>
    <row r="91" spans="1:1" x14ac:dyDescent="0.3">
      <c r="A91" s="3">
        <v>78</v>
      </c>
    </row>
    <row r="92" spans="1:1" x14ac:dyDescent="0.3">
      <c r="A92" s="3">
        <v>362</v>
      </c>
    </row>
    <row r="93" spans="1:1" x14ac:dyDescent="0.3">
      <c r="A93" s="3">
        <v>16</v>
      </c>
    </row>
    <row r="94" spans="1:1" x14ac:dyDescent="0.3">
      <c r="A94" s="3">
        <v>94</v>
      </c>
    </row>
    <row r="95" spans="1:1" x14ac:dyDescent="0.3">
      <c r="A95" s="3">
        <v>327</v>
      </c>
    </row>
    <row r="96" spans="1:1" x14ac:dyDescent="0.3">
      <c r="A96" s="3">
        <v>358</v>
      </c>
    </row>
    <row r="97" spans="1:1" x14ac:dyDescent="0.3">
      <c r="A97" s="3">
        <v>204</v>
      </c>
    </row>
    <row r="98" spans="1:1" x14ac:dyDescent="0.3">
      <c r="A98" s="3">
        <v>364</v>
      </c>
    </row>
    <row r="99" spans="1:1" x14ac:dyDescent="0.3">
      <c r="A99" s="3">
        <v>138</v>
      </c>
    </row>
    <row r="100" spans="1:1" x14ac:dyDescent="0.3">
      <c r="A100" s="3">
        <v>177</v>
      </c>
    </row>
    <row r="101" spans="1:1" x14ac:dyDescent="0.3">
      <c r="A101" s="3">
        <v>245</v>
      </c>
    </row>
    <row r="102" spans="1:1" x14ac:dyDescent="0.3">
      <c r="A102" s="3">
        <v>82</v>
      </c>
    </row>
    <row r="103" spans="1:1" x14ac:dyDescent="0.3">
      <c r="A103" s="3">
        <v>144</v>
      </c>
    </row>
    <row r="104" spans="1:1" x14ac:dyDescent="0.3">
      <c r="A104" s="3">
        <v>205</v>
      </c>
    </row>
    <row r="105" spans="1:1" x14ac:dyDescent="0.3">
      <c r="A105" s="3">
        <v>372</v>
      </c>
    </row>
    <row r="106" spans="1:1" x14ac:dyDescent="0.3">
      <c r="A106" s="3">
        <v>157</v>
      </c>
    </row>
    <row r="107" spans="1:1" x14ac:dyDescent="0.3">
      <c r="A107" s="3">
        <v>76</v>
      </c>
    </row>
    <row r="108" spans="1:1" x14ac:dyDescent="0.3">
      <c r="A108" s="3">
        <v>93</v>
      </c>
    </row>
    <row r="109" spans="1:1" x14ac:dyDescent="0.3">
      <c r="A109" s="3">
        <v>133</v>
      </c>
    </row>
    <row r="110" spans="1:1" x14ac:dyDescent="0.3">
      <c r="A110" s="3">
        <v>247</v>
      </c>
    </row>
    <row r="111" spans="1:1" x14ac:dyDescent="0.3">
      <c r="A111" s="3">
        <v>365</v>
      </c>
    </row>
    <row r="112" spans="1:1" x14ac:dyDescent="0.3">
      <c r="A112" s="3">
        <v>278</v>
      </c>
    </row>
    <row r="113" spans="1:1" x14ac:dyDescent="0.3">
      <c r="A113" s="3">
        <v>237</v>
      </c>
    </row>
    <row r="114" spans="1:1" x14ac:dyDescent="0.3">
      <c r="A114" s="3">
        <v>142</v>
      </c>
    </row>
    <row r="115" spans="1:1" x14ac:dyDescent="0.3">
      <c r="A115" s="3">
        <v>51</v>
      </c>
    </row>
    <row r="116" spans="1:1" x14ac:dyDescent="0.3">
      <c r="A116" s="3">
        <v>445</v>
      </c>
    </row>
    <row r="117" spans="1:1" x14ac:dyDescent="0.3">
      <c r="A117" s="3">
        <v>157</v>
      </c>
    </row>
    <row r="118" spans="1:1" x14ac:dyDescent="0.3">
      <c r="A118" s="3">
        <v>764</v>
      </c>
    </row>
    <row r="119" spans="1:1" x14ac:dyDescent="0.3">
      <c r="A119" s="3">
        <v>175</v>
      </c>
    </row>
    <row r="120" spans="1:1" x14ac:dyDescent="0.3">
      <c r="A120" s="3">
        <v>482</v>
      </c>
    </row>
    <row r="121" spans="1:1" x14ac:dyDescent="0.3">
      <c r="A121" s="3">
        <v>747</v>
      </c>
    </row>
    <row r="122" spans="1:1" x14ac:dyDescent="0.3">
      <c r="A122" s="3">
        <v>62</v>
      </c>
    </row>
    <row r="123" spans="1:1" x14ac:dyDescent="0.3">
      <c r="A123" s="3">
        <v>385</v>
      </c>
    </row>
    <row r="124" spans="1:1" x14ac:dyDescent="0.3">
      <c r="A124" s="3">
        <v>569</v>
      </c>
    </row>
    <row r="125" spans="1:1" x14ac:dyDescent="0.3">
      <c r="A125" s="3">
        <v>417</v>
      </c>
    </row>
    <row r="126" spans="1:1" x14ac:dyDescent="0.3">
      <c r="A126" s="3">
        <v>316</v>
      </c>
    </row>
    <row r="127" spans="1:1" x14ac:dyDescent="0.3">
      <c r="A127" s="3">
        <v>300</v>
      </c>
    </row>
    <row r="128" spans="1:1" x14ac:dyDescent="0.3">
      <c r="A128" s="3">
        <v>645</v>
      </c>
    </row>
    <row r="129" spans="1:1" x14ac:dyDescent="0.3">
      <c r="A129" s="3">
        <v>64</v>
      </c>
    </row>
    <row r="130" spans="1:1" x14ac:dyDescent="0.3">
      <c r="A130" s="3">
        <v>187</v>
      </c>
    </row>
    <row r="131" spans="1:1" x14ac:dyDescent="0.3">
      <c r="A131" s="3">
        <v>222</v>
      </c>
    </row>
    <row r="132" spans="1:1" x14ac:dyDescent="0.3">
      <c r="A132" s="3">
        <v>216</v>
      </c>
    </row>
    <row r="133" spans="1:1" x14ac:dyDescent="0.3">
      <c r="A133" s="3">
        <v>782</v>
      </c>
    </row>
    <row r="134" spans="1:1" x14ac:dyDescent="0.3">
      <c r="A134" s="3">
        <v>399</v>
      </c>
    </row>
    <row r="135" spans="1:1" x14ac:dyDescent="0.3">
      <c r="A135" s="3">
        <v>370</v>
      </c>
    </row>
    <row r="136" spans="1:1" x14ac:dyDescent="0.3">
      <c r="A136" s="3">
        <v>566</v>
      </c>
    </row>
    <row r="137" spans="1:1" x14ac:dyDescent="0.3">
      <c r="A137" s="3">
        <v>758</v>
      </c>
    </row>
    <row r="138" spans="1:1" x14ac:dyDescent="0.3">
      <c r="A138" s="3">
        <v>434</v>
      </c>
    </row>
    <row r="139" spans="1:1" x14ac:dyDescent="0.3">
      <c r="A139" s="3">
        <v>270</v>
      </c>
    </row>
    <row r="140" spans="1:1" x14ac:dyDescent="0.3">
      <c r="A140" s="3">
        <v>492</v>
      </c>
    </row>
    <row r="141" spans="1:1" x14ac:dyDescent="0.3">
      <c r="A141" s="3">
        <v>549</v>
      </c>
    </row>
    <row r="142" spans="1:1" x14ac:dyDescent="0.3">
      <c r="A142" s="3">
        <v>845</v>
      </c>
    </row>
    <row r="143" spans="1:1" x14ac:dyDescent="0.3">
      <c r="A143" s="3">
        <v>372</v>
      </c>
    </row>
    <row r="144" spans="1:1" x14ac:dyDescent="0.3">
      <c r="A144" s="3">
        <v>123</v>
      </c>
    </row>
    <row r="145" spans="1:1" x14ac:dyDescent="0.3">
      <c r="A145" s="3">
        <v>191</v>
      </c>
    </row>
    <row r="146" spans="1:1" x14ac:dyDescent="0.3">
      <c r="A146" s="3">
        <v>139</v>
      </c>
    </row>
    <row r="147" spans="1:1" x14ac:dyDescent="0.3">
      <c r="A147" s="3">
        <v>82</v>
      </c>
    </row>
    <row r="148" spans="1:1" x14ac:dyDescent="0.3">
      <c r="A148" s="3">
        <v>146</v>
      </c>
    </row>
    <row r="149" spans="1:1" x14ac:dyDescent="0.3">
      <c r="A149" s="3">
        <v>200</v>
      </c>
    </row>
    <row r="150" spans="1:1" x14ac:dyDescent="0.3">
      <c r="A150" s="3">
        <v>404</v>
      </c>
    </row>
    <row r="151" spans="1:1" x14ac:dyDescent="0.3">
      <c r="A151" s="3">
        <v>340</v>
      </c>
    </row>
    <row r="152" spans="1:1" x14ac:dyDescent="0.3">
      <c r="A152" s="3">
        <v>110</v>
      </c>
    </row>
    <row r="153" spans="1:1" x14ac:dyDescent="0.3">
      <c r="A153" s="3">
        <v>147</v>
      </c>
    </row>
    <row r="154" spans="1:1" x14ac:dyDescent="0.3">
      <c r="A154" s="3">
        <v>175</v>
      </c>
    </row>
    <row r="155" spans="1:1" x14ac:dyDescent="0.3">
      <c r="A155" s="3">
        <v>194</v>
      </c>
    </row>
    <row r="156" spans="1:1" x14ac:dyDescent="0.3">
      <c r="A156" s="3">
        <v>210</v>
      </c>
    </row>
    <row r="157" spans="1:1" x14ac:dyDescent="0.3">
      <c r="A157">
        <v>308</v>
      </c>
    </row>
    <row r="158" spans="1:1" x14ac:dyDescent="0.3">
      <c r="A158">
        <v>316</v>
      </c>
    </row>
    <row r="159" spans="1:1" x14ac:dyDescent="0.3">
      <c r="A159">
        <v>358</v>
      </c>
    </row>
    <row r="160" spans="1:1" x14ac:dyDescent="0.3">
      <c r="A160">
        <v>114</v>
      </c>
    </row>
    <row r="161" spans="1:1" x14ac:dyDescent="0.3">
      <c r="A161">
        <v>171</v>
      </c>
    </row>
    <row r="162" spans="1:1" x14ac:dyDescent="0.3">
      <c r="A162">
        <v>291</v>
      </c>
    </row>
    <row r="163" spans="1:1" x14ac:dyDescent="0.3">
      <c r="A163">
        <v>200</v>
      </c>
    </row>
    <row r="164" spans="1:1" x14ac:dyDescent="0.3">
      <c r="A164">
        <v>569</v>
      </c>
    </row>
    <row r="165" spans="1:1" x14ac:dyDescent="0.3">
      <c r="A165">
        <v>107</v>
      </c>
    </row>
    <row r="166" spans="1:1" x14ac:dyDescent="0.3">
      <c r="A166">
        <v>67</v>
      </c>
    </row>
    <row r="167" spans="1:1" x14ac:dyDescent="0.3">
      <c r="A167">
        <v>108</v>
      </c>
    </row>
    <row r="168" spans="1:1" x14ac:dyDescent="0.3">
      <c r="A168">
        <v>63</v>
      </c>
    </row>
    <row r="169" spans="1:1" x14ac:dyDescent="0.3">
      <c r="A169">
        <v>197</v>
      </c>
    </row>
    <row r="170" spans="1:1" x14ac:dyDescent="0.3">
      <c r="A170">
        <v>265</v>
      </c>
    </row>
    <row r="171" spans="1:1" x14ac:dyDescent="0.3">
      <c r="A171">
        <v>127</v>
      </c>
    </row>
    <row r="172" spans="1:1" x14ac:dyDescent="0.3">
      <c r="A172">
        <v>120</v>
      </c>
    </row>
    <row r="173" spans="1:1" x14ac:dyDescent="0.3">
      <c r="A173">
        <v>61</v>
      </c>
    </row>
    <row r="174" spans="1:1" x14ac:dyDescent="0.3">
      <c r="A174">
        <v>75</v>
      </c>
    </row>
    <row r="175" spans="1:1" x14ac:dyDescent="0.3">
      <c r="A175">
        <v>102</v>
      </c>
    </row>
    <row r="176" spans="1:1" x14ac:dyDescent="0.3">
      <c r="A176">
        <v>48</v>
      </c>
    </row>
    <row r="177" spans="1:1" x14ac:dyDescent="0.3">
      <c r="A177">
        <v>114</v>
      </c>
    </row>
    <row r="178" spans="1:1" x14ac:dyDescent="0.3">
      <c r="A178">
        <v>114</v>
      </c>
    </row>
    <row r="179" spans="1:1" x14ac:dyDescent="0.3">
      <c r="A179" s="3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ALI AHMAD</cp:lastModifiedBy>
  <dcterms:created xsi:type="dcterms:W3CDTF">2026-01-07T03:02:03Z</dcterms:created>
  <dcterms:modified xsi:type="dcterms:W3CDTF">2026-01-07T04:57:07Z</dcterms:modified>
</cp:coreProperties>
</file>